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/>
  <mc:AlternateContent xmlns:mc="http://schemas.openxmlformats.org/markup-compatibility/2006">
    <mc:Choice Requires="x15">
      <x15ac:absPath xmlns:x15ac="http://schemas.microsoft.com/office/spreadsheetml/2010/11/ac" url="/Users/macbookpro/Desktop/合金设计新方法/高温合金微观组织模型/建立高温合金的显微组织分类模型/"/>
    </mc:Choice>
  </mc:AlternateContent>
  <xr:revisionPtr revIDLastSave="0" documentId="13_ncr:1_{B5627D80-61D5-9741-AB6C-8F5D0F5FB7B1}" xr6:coauthVersionLast="45" xr6:coauthVersionMax="45" xr10:uidLastSave="{00000000-0000-0000-0000-000000000000}"/>
  <bookViews>
    <workbookView xWindow="0" yWindow="500" windowWidth="38400" windowHeight="20120" xr2:uid="{00000000-000D-0000-FFFF-FFFF00000000}"/>
  </bookViews>
  <sheets>
    <sheet name="Sheet1" sheetId="1" r:id="rId1"/>
  </sheets>
  <definedNames>
    <definedName name="_xlnm._FilterDatabase" localSheetId="0" hidden="1">Sheet1!$A$1:$U$136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2" i="1"/>
  <c r="P136" i="1" l="1"/>
  <c r="A136" i="1"/>
  <c r="P135" i="1"/>
  <c r="A135" i="1"/>
  <c r="P134" i="1"/>
  <c r="A134" i="1"/>
  <c r="P133" i="1"/>
  <c r="A133" i="1"/>
  <c r="P132" i="1"/>
  <c r="A132" i="1"/>
  <c r="P131" i="1"/>
  <c r="A131" i="1"/>
  <c r="P130" i="1"/>
  <c r="A130" i="1"/>
  <c r="P129" i="1"/>
  <c r="A129" i="1"/>
  <c r="P128" i="1"/>
  <c r="A128" i="1"/>
  <c r="P127" i="1"/>
  <c r="A127" i="1"/>
  <c r="P126" i="1"/>
  <c r="A126" i="1"/>
  <c r="P125" i="1"/>
  <c r="A125" i="1"/>
  <c r="P124" i="1"/>
  <c r="A124" i="1"/>
  <c r="P123" i="1"/>
  <c r="A123" i="1"/>
  <c r="P122" i="1"/>
  <c r="A122" i="1"/>
  <c r="P121" i="1"/>
  <c r="A121" i="1"/>
  <c r="P120" i="1"/>
  <c r="A120" i="1"/>
  <c r="P119" i="1"/>
  <c r="A119" i="1"/>
  <c r="P118" i="1"/>
  <c r="A118" i="1"/>
  <c r="P117" i="1"/>
  <c r="A117" i="1"/>
  <c r="P116" i="1"/>
  <c r="A116" i="1"/>
  <c r="P115" i="1"/>
  <c r="A115" i="1"/>
  <c r="P114" i="1"/>
  <c r="A114" i="1"/>
  <c r="P113" i="1"/>
  <c r="A113" i="1"/>
  <c r="P112" i="1"/>
  <c r="A112" i="1"/>
  <c r="P111" i="1"/>
  <c r="A111" i="1"/>
  <c r="P110" i="1"/>
  <c r="A110" i="1"/>
  <c r="P109" i="1"/>
  <c r="A109" i="1"/>
  <c r="P108" i="1"/>
  <c r="A108" i="1"/>
  <c r="P107" i="1"/>
  <c r="A107" i="1"/>
  <c r="P106" i="1"/>
  <c r="A106" i="1"/>
  <c r="P105" i="1"/>
  <c r="A105" i="1"/>
  <c r="P104" i="1"/>
  <c r="A104" i="1"/>
  <c r="P103" i="1"/>
  <c r="A103" i="1"/>
  <c r="P102" i="1"/>
  <c r="A102" i="1"/>
  <c r="P101" i="1"/>
  <c r="A101" i="1"/>
  <c r="P100" i="1"/>
  <c r="A100" i="1"/>
  <c r="P99" i="1"/>
  <c r="A99" i="1"/>
  <c r="P98" i="1"/>
  <c r="A98" i="1"/>
  <c r="P97" i="1"/>
  <c r="A97" i="1"/>
  <c r="P96" i="1"/>
  <c r="A96" i="1"/>
  <c r="P95" i="1"/>
  <c r="A95" i="1"/>
  <c r="P94" i="1"/>
  <c r="A94" i="1"/>
  <c r="P93" i="1"/>
  <c r="A93" i="1"/>
  <c r="P92" i="1"/>
  <c r="A92" i="1"/>
  <c r="P91" i="1"/>
  <c r="A91" i="1"/>
  <c r="P90" i="1"/>
  <c r="A90" i="1"/>
  <c r="P89" i="1"/>
  <c r="A89" i="1"/>
  <c r="P88" i="1"/>
  <c r="A88" i="1"/>
  <c r="P87" i="1"/>
  <c r="A87" i="1"/>
  <c r="P86" i="1"/>
  <c r="A86" i="1"/>
  <c r="P85" i="1"/>
  <c r="A85" i="1"/>
  <c r="P84" i="1"/>
  <c r="A84" i="1"/>
  <c r="P83" i="1"/>
  <c r="A83" i="1"/>
  <c r="P82" i="1"/>
  <c r="A82" i="1"/>
  <c r="P81" i="1"/>
  <c r="A81" i="1"/>
  <c r="P80" i="1"/>
  <c r="A80" i="1"/>
  <c r="P79" i="1"/>
  <c r="A79" i="1"/>
  <c r="P78" i="1"/>
  <c r="A78" i="1"/>
  <c r="P77" i="1"/>
  <c r="A77" i="1"/>
  <c r="P76" i="1"/>
  <c r="A76" i="1"/>
  <c r="P75" i="1"/>
  <c r="A75" i="1"/>
  <c r="P74" i="1"/>
  <c r="A74" i="1"/>
  <c r="P73" i="1"/>
  <c r="A73" i="1"/>
  <c r="P72" i="1"/>
  <c r="A72" i="1"/>
  <c r="P71" i="1"/>
  <c r="A71" i="1"/>
  <c r="P70" i="1"/>
  <c r="A70" i="1"/>
  <c r="P69" i="1"/>
  <c r="A69" i="1"/>
  <c r="P68" i="1"/>
  <c r="A68" i="1"/>
  <c r="P67" i="1"/>
  <c r="A67" i="1"/>
  <c r="P66" i="1"/>
  <c r="A66" i="1"/>
  <c r="P65" i="1"/>
  <c r="A65" i="1"/>
  <c r="P64" i="1"/>
  <c r="A64" i="1"/>
  <c r="P63" i="1"/>
  <c r="A63" i="1"/>
  <c r="P62" i="1"/>
  <c r="A62" i="1"/>
  <c r="P61" i="1"/>
  <c r="A61" i="1"/>
  <c r="P60" i="1"/>
  <c r="A60" i="1"/>
  <c r="P59" i="1"/>
  <c r="A59" i="1"/>
  <c r="P58" i="1"/>
  <c r="A58" i="1"/>
  <c r="P57" i="1"/>
  <c r="A57" i="1"/>
  <c r="P56" i="1"/>
  <c r="A56" i="1"/>
  <c r="P55" i="1"/>
  <c r="A55" i="1"/>
  <c r="P54" i="1"/>
  <c r="A54" i="1"/>
  <c r="P53" i="1"/>
  <c r="A53" i="1"/>
  <c r="P52" i="1"/>
  <c r="A52" i="1"/>
  <c r="P51" i="1"/>
  <c r="A51" i="1"/>
  <c r="P50" i="1"/>
  <c r="A50" i="1"/>
  <c r="P49" i="1"/>
  <c r="A49" i="1"/>
  <c r="P48" i="1"/>
  <c r="A48" i="1"/>
  <c r="P47" i="1"/>
  <c r="A47" i="1"/>
  <c r="P46" i="1"/>
  <c r="A46" i="1"/>
  <c r="P45" i="1"/>
  <c r="A45" i="1"/>
  <c r="P44" i="1"/>
  <c r="A44" i="1"/>
  <c r="P43" i="1"/>
  <c r="A43" i="1"/>
  <c r="P42" i="1"/>
  <c r="A42" i="1"/>
  <c r="P41" i="1"/>
  <c r="A41" i="1"/>
  <c r="P40" i="1"/>
  <c r="A40" i="1"/>
  <c r="P39" i="1"/>
  <c r="A39" i="1"/>
  <c r="P38" i="1"/>
  <c r="A38" i="1"/>
  <c r="P37" i="1"/>
  <c r="A37" i="1"/>
  <c r="P36" i="1"/>
  <c r="A36" i="1"/>
  <c r="P35" i="1"/>
  <c r="A35" i="1"/>
  <c r="P34" i="1"/>
  <c r="A34" i="1"/>
  <c r="P33" i="1"/>
  <c r="A33" i="1"/>
  <c r="P32" i="1"/>
  <c r="A32" i="1"/>
  <c r="P31" i="1"/>
  <c r="A31" i="1"/>
  <c r="P30" i="1"/>
  <c r="A30" i="1"/>
  <c r="P29" i="1"/>
  <c r="A29" i="1"/>
  <c r="P28" i="1"/>
  <c r="A28" i="1"/>
  <c r="P27" i="1"/>
  <c r="A27" i="1"/>
  <c r="P26" i="1"/>
  <c r="A26" i="1"/>
  <c r="P25" i="1"/>
  <c r="A25" i="1"/>
  <c r="P24" i="1"/>
  <c r="A24" i="1"/>
  <c r="P23" i="1"/>
  <c r="A23" i="1"/>
  <c r="P22" i="1"/>
  <c r="A22" i="1"/>
  <c r="P21" i="1"/>
  <c r="A21" i="1"/>
  <c r="P20" i="1"/>
  <c r="A20" i="1"/>
  <c r="P19" i="1"/>
  <c r="A19" i="1"/>
  <c r="P18" i="1"/>
  <c r="A18" i="1"/>
  <c r="P17" i="1"/>
  <c r="A17" i="1"/>
  <c r="P16" i="1"/>
  <c r="A16" i="1"/>
  <c r="P15" i="1"/>
  <c r="A15" i="1"/>
  <c r="P14" i="1"/>
  <c r="A14" i="1"/>
  <c r="P13" i="1"/>
  <c r="A13" i="1"/>
  <c r="P12" i="1"/>
  <c r="A12" i="1"/>
  <c r="P11" i="1"/>
  <c r="A11" i="1"/>
  <c r="P10" i="1"/>
  <c r="A10" i="1"/>
  <c r="P9" i="1"/>
  <c r="A9" i="1"/>
  <c r="P8" i="1"/>
  <c r="A8" i="1"/>
  <c r="P7" i="1"/>
  <c r="A7" i="1"/>
  <c r="P6" i="1"/>
  <c r="A6" i="1"/>
  <c r="P5" i="1"/>
  <c r="A5" i="1"/>
  <c r="P4" i="1"/>
  <c r="A4" i="1"/>
  <c r="P3" i="1"/>
  <c r="A3" i="1"/>
  <c r="P2" i="1"/>
  <c r="A2" i="1"/>
</calcChain>
</file>

<file path=xl/sharedStrings.xml><?xml version="1.0" encoding="utf-8"?>
<sst xmlns="http://schemas.openxmlformats.org/spreadsheetml/2006/main" count="291" uniqueCount="23">
  <si>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</si>
  <si>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</si>
  <si>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</si>
  <si>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</si>
  <si>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</si>
  <si>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</si>
  <si>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</si>
  <si>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</si>
  <si>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</si>
  <si>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</si>
  <si>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</si>
  <si>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</si>
  <si>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TCP</t>
  </si>
  <si>
    <t>强化相</t>
    <phoneticPr fontId="6" type="noConversion"/>
  </si>
  <si>
    <t>固态温度</t>
    <phoneticPr fontId="6" type="noConversion"/>
  </si>
  <si>
    <t>液态温度</t>
    <phoneticPr fontId="6" type="noConversion"/>
  </si>
  <si>
    <t>凝固区间温度</t>
    <phoneticPr fontId="6" type="noConversion"/>
  </si>
  <si>
    <t>强化相溶解温度</t>
    <phoneticPr fontId="6" type="noConversion"/>
  </si>
  <si>
    <t>加工窗口</t>
    <phoneticPr fontId="6" type="noConversion"/>
  </si>
  <si>
    <t>错配度</t>
    <phoneticPr fontId="6" type="noConversion"/>
  </si>
  <si>
    <t>Very Good</t>
    <phoneticPr fontId="6" type="noConversion"/>
  </si>
  <si>
    <t>Unacceptable</t>
  </si>
  <si>
    <t>评价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</si>
</sst>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_);[Red]\(0.000\)"/>
    <numFmt numFmtId="177" formatCode="0.000_ "/>
    <numFmt numFmtId="178" formatCode="0.0000_);[Red]\(0.0000\)"/>
    <numFmt numFmtId="179" formatCode="0.0000_ "/>
    <numFmt numFmtId="180" formatCode="0.00_ "/>
  </numFmts>
  <fonts count="8">
    <font>
      <sz val="12"/>
      <color theme="1"/>
      <name val="等线"/>
      <charset val="134"/>
      <scheme val="minor"/>
    </font>
    <font>
      <b/>
      <sz val="14"/>
      <color theme="1"/>
      <name val="等线"/>
      <family val="4"/>
      <charset val="134"/>
      <scheme val="minor"/>
    </font>
    <font>
      <sz val="14"/>
      <color theme="1"/>
      <name val="等线"/>
      <family val="4"/>
      <charset val="134"/>
      <scheme val="minor"/>
    </font>
    <font>
      <sz val="14"/>
      <color rgb="FF000000"/>
      <name val="等线"/>
      <family val="4"/>
      <charset val="134"/>
      <scheme val="minor"/>
    </font>
    <font>
      <sz val="14"/>
      <name val="等线"/>
      <family val="4"/>
      <charset val="134"/>
      <scheme val="minor"/>
    </font>
    <font>
      <b/>
      <sz val="12"/>
      <color rgb="FF000000"/>
      <name val="Times New Roman"/>
      <family val="1"/>
    </font>
    <font>
      <sz val="9"/>
      <name val="等线"/>
      <family val="4"/>
      <charset val="134"/>
      <scheme val="minor"/>
    </font>
    <font>
      <sz val="14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1" fillId="0" borderId="0" xfId="0" applyNumberFormat="1" applyFont="1" applyFill="1" applyAlignment="1" applyProtection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  <xf numFmtId="180" fontId="2" fillId="0" borderId="0" xfId="0" applyNumberFormat="1" applyFont="1" applyFill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36"/>
  <sheetViews>
    <sheetView tabSelected="1" topLeftCell="B1" zoomScale="110" zoomScaleNormal="110" workbookViewId="0">
      <pane ySplit="1" topLeftCell="A37" activePane="bottomLeft" state="frozen"/>
      <selection pane="bottomLeft" activeCell="Y92" sqref="Y92"/>
    </sheetView>
  </sheetViews>
  <sheetFormatPr baseColWidth="10" defaultColWidth="11" defaultRowHeight="18"/>
  <cols>
    <col min="1" max="1" width="10.83203125" style="2"/>
    <col min="2" max="16" width="10.83203125" style="4"/>
    <col min="17" max="17" width="11.6640625" style="4"/>
    <col min="18" max="18" width="10.83203125" style="4"/>
    <col min="19" max="19" width="11.6640625" style="4"/>
    <col min="20" max="20" width="14.6640625" style="4" customWidth="1"/>
    <col min="21" max="21" width="19.83203125" style="4" customWidth="1"/>
    <col min="22" max="16378" width="10.83203125" style="4"/>
    <col min="16379" max="16384" width="11" style="4"/>
  </cols>
  <sheetData>
    <row r="1" spans="1:21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18" t="s">
        <v>13</v>
      </c>
      <c r="N1" s="18" t="s">
        <v>15</v>
      </c>
      <c r="O1" s="18" t="s">
        <v>14</v>
      </c>
      <c r="P1" s="18" t="s">
        <v>16</v>
      </c>
      <c r="Q1" s="18" t="s">
        <v>17</v>
      </c>
      <c r="R1" s="18" t="s">
        <v>18</v>
      </c>
      <c r="S1" s="19" t="s">
        <v>19</v>
      </c>
      <c r="T1" s="9" t="s">
        <v>12</v>
      </c>
      <c r="U1" s="1" t="s">
        <v>22</v>
      </c>
    </row>
    <row r="2" spans="1:21">
      <c r="A2" s="6">
        <f>100-(B2+C2+D2+E2+F2+G2+H2+I2+J2+K2+L2)</f>
        <v>53.395000000000003</v>
      </c>
      <c r="B2" s="6">
        <v>17.739999999999998</v>
      </c>
      <c r="C2" s="6">
        <v>0.31</v>
      </c>
      <c r="D2" s="6">
        <v>18.579000000000001</v>
      </c>
      <c r="E2" s="6">
        <v>0.53</v>
      </c>
      <c r="F2" s="6">
        <v>0.97</v>
      </c>
      <c r="G2" s="6">
        <v>5.48</v>
      </c>
      <c r="H2" s="6">
        <v>2.97</v>
      </c>
      <c r="I2" s="6">
        <v>0</v>
      </c>
      <c r="J2" s="6">
        <v>2.5999999999999999E-2</v>
      </c>
      <c r="K2" s="6">
        <v>0</v>
      </c>
      <c r="L2" s="6">
        <v>0</v>
      </c>
      <c r="M2" s="10">
        <v>8.1999999999999993</v>
      </c>
      <c r="N2" s="10">
        <v>1360</v>
      </c>
      <c r="O2" s="4">
        <v>1212.54</v>
      </c>
      <c r="P2" s="10">
        <f t="shared" ref="P2:P65" si="0">N2-O2</f>
        <v>147.46000000000004</v>
      </c>
      <c r="Q2" s="10">
        <v>899.35</v>
      </c>
      <c r="R2" s="10">
        <f>ABS(O2-Q2)</f>
        <v>313.18999999999994</v>
      </c>
      <c r="S2" s="10">
        <v>0.55200000000000005</v>
      </c>
      <c r="T2" s="10" t="s">
        <v>20</v>
      </c>
      <c r="U2" s="4" t="s">
        <v>21</v>
      </c>
    </row>
    <row r="3" spans="1:21">
      <c r="A3" s="6">
        <f t="shared" ref="A3:A66" si="1">100-B3-C3-D3-E3-F3-G3-H3-I3-J3-K3-L3</f>
        <v>52.399999999999991</v>
      </c>
      <c r="B3" s="6">
        <v>19.010000000000002</v>
      </c>
      <c r="C3" s="6">
        <v>0.02</v>
      </c>
      <c r="D3" s="6">
        <v>18.837</v>
      </c>
      <c r="E3" s="6">
        <v>0.56999999999999995</v>
      </c>
      <c r="F3" s="6">
        <v>1</v>
      </c>
      <c r="G3" s="6">
        <v>5.07</v>
      </c>
      <c r="H3" s="6">
        <v>3.06</v>
      </c>
      <c r="I3" s="6">
        <v>0</v>
      </c>
      <c r="J3" s="6">
        <v>0.03</v>
      </c>
      <c r="K3" s="6">
        <v>3.0000000000000001E-3</v>
      </c>
      <c r="L3" s="6">
        <v>0</v>
      </c>
      <c r="M3" s="10">
        <v>8.9700000000000006</v>
      </c>
      <c r="N3" s="10">
        <v>1358.19</v>
      </c>
      <c r="O3" s="4">
        <v>1179.3599999999999</v>
      </c>
      <c r="P3" s="10">
        <f t="shared" si="0"/>
        <v>178.83000000000015</v>
      </c>
      <c r="Q3" s="10">
        <v>916.2</v>
      </c>
      <c r="R3" s="10">
        <f t="shared" ref="R3:R66" si="2">ABS(O3-Q3)</f>
        <v>263.15999999999985</v>
      </c>
      <c r="S3" s="10">
        <v>0.55800000000000005</v>
      </c>
      <c r="T3" s="10" t="s">
        <v>20</v>
      </c>
      <c r="U3" s="4" t="s">
        <v>21</v>
      </c>
    </row>
    <row r="4" spans="1:21" hidden="1">
      <c r="A4" s="6">
        <f t="shared" si="1"/>
        <v>55.4315</v>
      </c>
      <c r="B4" s="6">
        <v>18.93</v>
      </c>
      <c r="C4" s="6">
        <v>11</v>
      </c>
      <c r="D4" s="6">
        <v>0</v>
      </c>
      <c r="E4" s="6">
        <v>1.57</v>
      </c>
      <c r="F4" s="6">
        <v>3.13</v>
      </c>
      <c r="G4" s="6">
        <v>0</v>
      </c>
      <c r="H4" s="6">
        <v>9.83</v>
      </c>
      <c r="I4" s="6">
        <v>0</v>
      </c>
      <c r="J4" s="6">
        <v>7.4999999999999997E-2</v>
      </c>
      <c r="K4" s="6">
        <v>3.5000000000000001E-3</v>
      </c>
      <c r="L4" s="6">
        <v>0.03</v>
      </c>
      <c r="M4" s="10">
        <v>27.23</v>
      </c>
      <c r="N4" s="10">
        <v>1331.25</v>
      </c>
      <c r="O4" s="4">
        <v>1244.0899999999999</v>
      </c>
      <c r="P4" s="10">
        <f t="shared" si="0"/>
        <v>87.160000000000082</v>
      </c>
      <c r="Q4" s="10">
        <v>1056.06</v>
      </c>
      <c r="R4" s="10">
        <f t="shared" si="2"/>
        <v>188.02999999999997</v>
      </c>
      <c r="S4" s="10">
        <v>3.6999999999999998E-2</v>
      </c>
      <c r="T4" s="10" t="s">
        <v>20</v>
      </c>
      <c r="U4" s="10" t="s">
        <v>20</v>
      </c>
    </row>
    <row r="5" spans="1:21">
      <c r="A5" s="6">
        <f t="shared" si="1"/>
        <v>53.270000000000017</v>
      </c>
      <c r="B5" s="6">
        <v>18.600000000000001</v>
      </c>
      <c r="C5" s="6">
        <v>0</v>
      </c>
      <c r="D5" s="6">
        <v>17.745999999999999</v>
      </c>
      <c r="E5" s="6">
        <v>1.2</v>
      </c>
      <c r="F5" s="6">
        <v>0.8</v>
      </c>
      <c r="G5" s="6">
        <v>5.3</v>
      </c>
      <c r="H5" s="6">
        <v>3</v>
      </c>
      <c r="I5" s="6">
        <v>0</v>
      </c>
      <c r="J5" s="6">
        <v>0.08</v>
      </c>
      <c r="K5" s="6">
        <v>4.0000000000000001E-3</v>
      </c>
      <c r="L5" s="6">
        <v>0</v>
      </c>
      <c r="M5" s="10">
        <v>13.59</v>
      </c>
      <c r="N5" s="10">
        <v>1358.32</v>
      </c>
      <c r="O5" s="4">
        <v>1197.3599999999999</v>
      </c>
      <c r="P5" s="10">
        <f t="shared" si="0"/>
        <v>160.96000000000004</v>
      </c>
      <c r="Q5" s="10">
        <v>938.05</v>
      </c>
      <c r="R5" s="10">
        <f t="shared" si="2"/>
        <v>259.30999999999995</v>
      </c>
      <c r="S5" s="10">
        <v>0.45100000000000001</v>
      </c>
      <c r="T5" s="10" t="s">
        <v>20</v>
      </c>
      <c r="U5" s="4" t="s">
        <v>21</v>
      </c>
    </row>
    <row r="6" spans="1:21">
      <c r="A6" s="6">
        <f t="shared" si="1"/>
        <v>51.689</v>
      </c>
      <c r="B6" s="6">
        <v>19.2</v>
      </c>
      <c r="C6" s="6">
        <v>0</v>
      </c>
      <c r="D6" s="6">
        <v>19.300999999999998</v>
      </c>
      <c r="E6" s="6">
        <v>0.7</v>
      </c>
      <c r="F6" s="6">
        <v>1.01</v>
      </c>
      <c r="G6" s="6">
        <v>5.05</v>
      </c>
      <c r="H6" s="6">
        <v>3.05</v>
      </c>
      <c r="I6" s="6">
        <v>0</v>
      </c>
      <c r="J6" s="6">
        <v>0</v>
      </c>
      <c r="K6" s="6">
        <v>0</v>
      </c>
      <c r="L6" s="6">
        <v>0</v>
      </c>
      <c r="M6" s="10">
        <v>10.48</v>
      </c>
      <c r="N6" s="10">
        <v>1361.27</v>
      </c>
      <c r="O6" s="4">
        <v>1204.02</v>
      </c>
      <c r="P6" s="10">
        <f t="shared" si="0"/>
        <v>157.25</v>
      </c>
      <c r="Q6" s="10">
        <v>932.34</v>
      </c>
      <c r="R6" s="10">
        <f t="shared" si="2"/>
        <v>271.67999999999995</v>
      </c>
      <c r="S6" s="10">
        <v>0.53200000000000003</v>
      </c>
      <c r="T6" s="10" t="s">
        <v>20</v>
      </c>
      <c r="U6" s="4" t="s">
        <v>21</v>
      </c>
    </row>
    <row r="7" spans="1:21">
      <c r="A7" s="6">
        <f t="shared" si="1"/>
        <v>52.3</v>
      </c>
      <c r="B7" s="6">
        <v>19.010000000000002</v>
      </c>
      <c r="C7" s="6">
        <v>0.02</v>
      </c>
      <c r="D7" s="6">
        <v>18.937000000000001</v>
      </c>
      <c r="E7" s="6">
        <v>0.56999999999999995</v>
      </c>
      <c r="F7" s="6">
        <v>1</v>
      </c>
      <c r="G7" s="6">
        <v>5.07</v>
      </c>
      <c r="H7" s="6">
        <v>3.06</v>
      </c>
      <c r="I7" s="6">
        <v>0</v>
      </c>
      <c r="J7" s="6">
        <v>0.03</v>
      </c>
      <c r="K7" s="6">
        <v>3.0000000000000001E-3</v>
      </c>
      <c r="L7" s="6">
        <v>0</v>
      </c>
      <c r="M7" s="10">
        <v>8.98</v>
      </c>
      <c r="N7" s="10">
        <v>1360.26</v>
      </c>
      <c r="O7" s="4">
        <v>1178.45</v>
      </c>
      <c r="P7" s="10">
        <f t="shared" si="0"/>
        <v>181.80999999999995</v>
      </c>
      <c r="Q7" s="10">
        <v>916.44</v>
      </c>
      <c r="R7" s="10">
        <f t="shared" si="2"/>
        <v>262.01</v>
      </c>
      <c r="S7" s="10">
        <v>0.55500000000000005</v>
      </c>
      <c r="T7" s="10" t="s">
        <v>20</v>
      </c>
      <c r="U7" s="4" t="s">
        <v>21</v>
      </c>
    </row>
    <row r="8" spans="1:21">
      <c r="A8" s="6">
        <f t="shared" si="1"/>
        <v>54.763000000000012</v>
      </c>
      <c r="B8" s="6">
        <v>19.100000000000001</v>
      </c>
      <c r="C8" s="6">
        <v>0.02</v>
      </c>
      <c r="D8" s="6">
        <v>16.3</v>
      </c>
      <c r="E8" s="6">
        <v>0.64</v>
      </c>
      <c r="F8" s="6">
        <v>0.96</v>
      </c>
      <c r="G8" s="6">
        <v>5.22</v>
      </c>
      <c r="H8" s="6">
        <v>2.96</v>
      </c>
      <c r="I8" s="6">
        <v>0</v>
      </c>
      <c r="J8" s="6">
        <v>3.4000000000000002E-2</v>
      </c>
      <c r="K8" s="6">
        <v>3.0000000000000001E-3</v>
      </c>
      <c r="L8" s="6">
        <v>0</v>
      </c>
      <c r="M8" s="10">
        <v>9.3699999999999992</v>
      </c>
      <c r="N8" s="10">
        <v>1359.03</v>
      </c>
      <c r="O8" s="4">
        <v>1186.94</v>
      </c>
      <c r="P8" s="10">
        <f t="shared" si="0"/>
        <v>172.08999999999992</v>
      </c>
      <c r="Q8" s="10">
        <v>914.76</v>
      </c>
      <c r="R8" s="10">
        <f t="shared" si="2"/>
        <v>272.18000000000006</v>
      </c>
      <c r="S8" s="10">
        <v>0.54500000000000004</v>
      </c>
      <c r="T8" s="10" t="s">
        <v>20</v>
      </c>
      <c r="U8" s="4" t="s">
        <v>21</v>
      </c>
    </row>
    <row r="9" spans="1:21">
      <c r="A9" s="6">
        <f t="shared" si="1"/>
        <v>53.423000000000009</v>
      </c>
      <c r="B9" s="6">
        <v>18.25</v>
      </c>
      <c r="C9" s="6">
        <v>0.02</v>
      </c>
      <c r="D9" s="6">
        <v>18.452000000000002</v>
      </c>
      <c r="E9" s="6">
        <v>0.57999999999999996</v>
      </c>
      <c r="F9" s="6">
        <v>0.99</v>
      </c>
      <c r="G9" s="6">
        <v>5.22</v>
      </c>
      <c r="H9" s="6">
        <v>3.04</v>
      </c>
      <c r="I9" s="6">
        <v>0</v>
      </c>
      <c r="J9" s="6">
        <v>2.1999999999999999E-2</v>
      </c>
      <c r="K9" s="6">
        <v>3.0000000000000001E-3</v>
      </c>
      <c r="L9" s="6">
        <v>0</v>
      </c>
      <c r="M9" s="10">
        <v>8.91</v>
      </c>
      <c r="N9" s="10">
        <v>1361.28</v>
      </c>
      <c r="O9" s="4">
        <v>1182.01</v>
      </c>
      <c r="P9" s="10">
        <f t="shared" si="0"/>
        <v>179.26999999999998</v>
      </c>
      <c r="Q9" s="10">
        <v>911.17</v>
      </c>
      <c r="R9" s="10">
        <f t="shared" si="2"/>
        <v>270.84000000000003</v>
      </c>
      <c r="S9" s="10">
        <v>0.54700000000000004</v>
      </c>
      <c r="T9" s="10" t="s">
        <v>20</v>
      </c>
      <c r="U9" s="4" t="s">
        <v>21</v>
      </c>
    </row>
    <row r="10" spans="1:21">
      <c r="A10" s="6">
        <f t="shared" si="1"/>
        <v>53.589999999999996</v>
      </c>
      <c r="B10" s="6">
        <v>18.510000000000002</v>
      </c>
      <c r="C10" s="6">
        <v>0.04</v>
      </c>
      <c r="D10" s="6">
        <v>18.13</v>
      </c>
      <c r="E10" s="6">
        <v>0.56999999999999995</v>
      </c>
      <c r="F10" s="6">
        <v>1.1000000000000001</v>
      </c>
      <c r="G10" s="6">
        <v>4.97</v>
      </c>
      <c r="H10" s="6">
        <v>3.05</v>
      </c>
      <c r="I10" s="6">
        <v>0</v>
      </c>
      <c r="J10" s="6">
        <v>0.04</v>
      </c>
      <c r="K10" s="6">
        <v>0</v>
      </c>
      <c r="L10" s="6">
        <v>0</v>
      </c>
      <c r="M10" s="10">
        <v>9.67</v>
      </c>
      <c r="N10" s="10">
        <v>1360.09</v>
      </c>
      <c r="O10" s="4">
        <v>1219.48</v>
      </c>
      <c r="P10" s="10">
        <f t="shared" si="0"/>
        <v>140.6099999999999</v>
      </c>
      <c r="Q10" s="10">
        <v>916.81</v>
      </c>
      <c r="R10" s="10">
        <f t="shared" si="2"/>
        <v>302.67000000000007</v>
      </c>
      <c r="S10" s="10">
        <v>0.56000000000000005</v>
      </c>
      <c r="T10" s="10" t="s">
        <v>20</v>
      </c>
      <c r="U10" s="4" t="s">
        <v>21</v>
      </c>
    </row>
    <row r="11" spans="1:21">
      <c r="A11" s="6">
        <f t="shared" si="1"/>
        <v>52.399999999999991</v>
      </c>
      <c r="B11" s="6">
        <v>19.010000000000002</v>
      </c>
      <c r="C11" s="6">
        <v>0.02</v>
      </c>
      <c r="D11" s="6">
        <v>18.837</v>
      </c>
      <c r="E11" s="6">
        <v>0.56999999999999995</v>
      </c>
      <c r="F11" s="6">
        <v>1</v>
      </c>
      <c r="G11" s="6">
        <v>5.07</v>
      </c>
      <c r="H11" s="6">
        <v>3.06</v>
      </c>
      <c r="I11" s="6">
        <v>0</v>
      </c>
      <c r="J11" s="6">
        <v>0.03</v>
      </c>
      <c r="K11" s="6">
        <v>3.0000000000000001E-3</v>
      </c>
      <c r="L11" s="6">
        <v>0</v>
      </c>
      <c r="M11" s="10">
        <v>8.98</v>
      </c>
      <c r="N11" s="10">
        <v>1360.27</v>
      </c>
      <c r="O11" s="4">
        <v>1179.3599999999999</v>
      </c>
      <c r="P11" s="10">
        <f t="shared" si="0"/>
        <v>180.91000000000008</v>
      </c>
      <c r="Q11" s="10">
        <v>916.23</v>
      </c>
      <c r="R11" s="10">
        <f t="shared" si="2"/>
        <v>263.12999999999988</v>
      </c>
      <c r="S11" s="10">
        <v>0.55600000000000005</v>
      </c>
      <c r="T11" s="10" t="s">
        <v>20</v>
      </c>
      <c r="U11" s="4" t="s">
        <v>21</v>
      </c>
    </row>
    <row r="12" spans="1:21">
      <c r="A12" s="6">
        <f t="shared" si="1"/>
        <v>53.748999999999995</v>
      </c>
      <c r="B12" s="6">
        <v>17.579999999999998</v>
      </c>
      <c r="C12" s="6">
        <v>0.4</v>
      </c>
      <c r="D12" s="6">
        <v>18.381499999999999</v>
      </c>
      <c r="E12" s="6">
        <v>0.52</v>
      </c>
      <c r="F12" s="6">
        <v>0.98</v>
      </c>
      <c r="G12" s="6">
        <v>5.35</v>
      </c>
      <c r="H12" s="6">
        <v>3.01</v>
      </c>
      <c r="I12" s="6">
        <v>0</v>
      </c>
      <c r="J12" s="6">
        <v>2.7E-2</v>
      </c>
      <c r="K12" s="6">
        <v>2.5000000000000001E-3</v>
      </c>
      <c r="L12" s="6">
        <v>0</v>
      </c>
      <c r="M12" s="10">
        <v>8.0399999999999991</v>
      </c>
      <c r="N12" s="10">
        <v>1361.13</v>
      </c>
      <c r="O12" s="4">
        <v>1184.72</v>
      </c>
      <c r="P12" s="10">
        <f t="shared" si="0"/>
        <v>176.41000000000008</v>
      </c>
      <c r="Q12" s="10">
        <v>890.76</v>
      </c>
      <c r="R12" s="10">
        <f t="shared" si="2"/>
        <v>293.96000000000004</v>
      </c>
      <c r="S12" s="10">
        <v>0.55200000000000005</v>
      </c>
      <c r="T12" s="10" t="s">
        <v>21</v>
      </c>
      <c r="U12" s="4" t="s">
        <v>21</v>
      </c>
    </row>
    <row r="13" spans="1:21">
      <c r="A13" s="6">
        <f t="shared" si="1"/>
        <v>52.589999999999996</v>
      </c>
      <c r="B13" s="6">
        <v>19.09</v>
      </c>
      <c r="C13" s="6">
        <v>0</v>
      </c>
      <c r="D13" s="6">
        <v>18.306999999999999</v>
      </c>
      <c r="E13" s="6">
        <v>0.56999999999999995</v>
      </c>
      <c r="F13" s="6">
        <v>1.01</v>
      </c>
      <c r="G13" s="6">
        <v>5.35</v>
      </c>
      <c r="H13" s="6">
        <v>3.05</v>
      </c>
      <c r="I13" s="6">
        <v>0</v>
      </c>
      <c r="J13" s="6">
        <v>0.03</v>
      </c>
      <c r="K13" s="6">
        <v>3.0000000000000001E-3</v>
      </c>
      <c r="L13" s="6">
        <v>0</v>
      </c>
      <c r="M13" s="10">
        <v>9.15</v>
      </c>
      <c r="N13" s="10">
        <v>1356.41</v>
      </c>
      <c r="O13" s="4">
        <v>1193.28</v>
      </c>
      <c r="P13" s="10">
        <f t="shared" si="0"/>
        <v>163.13000000000011</v>
      </c>
      <c r="Q13" s="10">
        <v>919.54</v>
      </c>
      <c r="R13" s="10">
        <f t="shared" si="2"/>
        <v>273.74</v>
      </c>
      <c r="S13" s="10">
        <v>0.55900000000000005</v>
      </c>
      <c r="T13" s="10" t="s">
        <v>20</v>
      </c>
      <c r="U13" s="4" t="s">
        <v>21</v>
      </c>
    </row>
    <row r="14" spans="1:21">
      <c r="A14" s="6">
        <f t="shared" si="1"/>
        <v>53.278399999999998</v>
      </c>
      <c r="B14" s="6">
        <v>19.12</v>
      </c>
      <c r="C14" s="6">
        <v>2.9000000000000001E-2</v>
      </c>
      <c r="D14" s="6">
        <v>17.61</v>
      </c>
      <c r="E14" s="6">
        <v>0.6</v>
      </c>
      <c r="F14" s="6">
        <v>0.99</v>
      </c>
      <c r="G14" s="6">
        <v>5.22</v>
      </c>
      <c r="H14" s="6">
        <v>3.12</v>
      </c>
      <c r="I14" s="6">
        <v>0</v>
      </c>
      <c r="J14" s="6">
        <v>0.03</v>
      </c>
      <c r="K14" s="6">
        <v>2.5999999999999999E-3</v>
      </c>
      <c r="L14" s="6">
        <v>0</v>
      </c>
      <c r="M14" s="10">
        <v>9.27</v>
      </c>
      <c r="N14" s="10">
        <v>1357.91</v>
      </c>
      <c r="O14" s="4">
        <v>1179.94</v>
      </c>
      <c r="P14" s="10">
        <f t="shared" si="0"/>
        <v>177.97000000000003</v>
      </c>
      <c r="Q14" s="10">
        <v>918.01</v>
      </c>
      <c r="R14" s="10">
        <f t="shared" si="2"/>
        <v>261.93000000000006</v>
      </c>
      <c r="S14" s="10">
        <v>0.55200000000000005</v>
      </c>
      <c r="T14" s="10" t="s">
        <v>20</v>
      </c>
      <c r="U14" s="4" t="s">
        <v>21</v>
      </c>
    </row>
    <row r="15" spans="1:21">
      <c r="A15" s="6">
        <f t="shared" si="1"/>
        <v>51.999999999999993</v>
      </c>
      <c r="B15" s="6">
        <v>18</v>
      </c>
      <c r="C15" s="6">
        <v>0</v>
      </c>
      <c r="D15" s="6">
        <v>20.477</v>
      </c>
      <c r="E15" s="6">
        <v>0.49</v>
      </c>
      <c r="F15" s="6">
        <v>0.9</v>
      </c>
      <c r="G15" s="6">
        <v>5.2</v>
      </c>
      <c r="H15" s="6">
        <v>2.9</v>
      </c>
      <c r="I15" s="6">
        <v>0</v>
      </c>
      <c r="J15" s="6">
        <v>0.03</v>
      </c>
      <c r="K15" s="6">
        <v>3.0000000000000001E-3</v>
      </c>
      <c r="L15" s="6">
        <v>0</v>
      </c>
      <c r="M15" s="10">
        <v>6.96</v>
      </c>
      <c r="N15" s="10">
        <v>1364.22</v>
      </c>
      <c r="O15" s="4">
        <v>1179.95</v>
      </c>
      <c r="P15" s="10">
        <f t="shared" si="0"/>
        <v>184.26999999999998</v>
      </c>
      <c r="Q15" s="10">
        <v>879.92</v>
      </c>
      <c r="R15" s="10">
        <f t="shared" si="2"/>
        <v>300.03000000000009</v>
      </c>
      <c r="S15" s="10">
        <v>0.55100000000000005</v>
      </c>
      <c r="T15" s="10" t="s">
        <v>21</v>
      </c>
      <c r="U15" s="4" t="s">
        <v>21</v>
      </c>
    </row>
    <row r="16" spans="1:21">
      <c r="A16" s="6">
        <f t="shared" si="1"/>
        <v>53.000000000000007</v>
      </c>
      <c r="B16" s="6">
        <v>19</v>
      </c>
      <c r="C16" s="6">
        <v>0</v>
      </c>
      <c r="D16" s="6">
        <v>18.155999999999999</v>
      </c>
      <c r="E16" s="6">
        <v>0.5</v>
      </c>
      <c r="F16" s="6">
        <v>1</v>
      </c>
      <c r="G16" s="6">
        <v>5.3</v>
      </c>
      <c r="H16" s="6">
        <v>3</v>
      </c>
      <c r="I16" s="6">
        <v>0</v>
      </c>
      <c r="J16" s="6">
        <v>0.04</v>
      </c>
      <c r="K16" s="6">
        <v>4.0000000000000001E-3</v>
      </c>
      <c r="L16" s="6">
        <v>0</v>
      </c>
      <c r="M16" s="10">
        <v>7.84</v>
      </c>
      <c r="N16" s="10">
        <v>1357.31</v>
      </c>
      <c r="O16" s="4">
        <v>1178.03</v>
      </c>
      <c r="P16" s="10">
        <f t="shared" si="0"/>
        <v>179.27999999999997</v>
      </c>
      <c r="Q16" s="10">
        <v>894.19</v>
      </c>
      <c r="R16" s="10">
        <f t="shared" si="2"/>
        <v>283.83999999999992</v>
      </c>
      <c r="S16" s="10">
        <v>0.56899999999999995</v>
      </c>
      <c r="T16" s="10" t="s">
        <v>21</v>
      </c>
      <c r="U16" s="4" t="s">
        <v>21</v>
      </c>
    </row>
    <row r="17" spans="1:21">
      <c r="A17" s="6">
        <f t="shared" si="1"/>
        <v>54.410000000000004</v>
      </c>
      <c r="B17" s="6">
        <v>18.41</v>
      </c>
      <c r="C17" s="6">
        <v>0</v>
      </c>
      <c r="D17" s="6">
        <v>16.454000000000001</v>
      </c>
      <c r="E17" s="6">
        <v>0.66</v>
      </c>
      <c r="F17" s="6">
        <v>1.1499999999999999</v>
      </c>
      <c r="G17" s="6">
        <v>5.46</v>
      </c>
      <c r="H17" s="6">
        <v>3.41</v>
      </c>
      <c r="I17" s="6">
        <v>0</v>
      </c>
      <c r="J17" s="6">
        <v>4.5999999999999999E-2</v>
      </c>
      <c r="K17" s="6">
        <v>0</v>
      </c>
      <c r="L17" s="6">
        <v>0</v>
      </c>
      <c r="M17" s="10">
        <v>11.17</v>
      </c>
      <c r="N17" s="10">
        <v>1351.93</v>
      </c>
      <c r="O17" s="4">
        <v>1212.3900000000001</v>
      </c>
      <c r="P17" s="10">
        <f t="shared" si="0"/>
        <v>139.53999999999996</v>
      </c>
      <c r="Q17" s="10">
        <v>930.7</v>
      </c>
      <c r="R17" s="10">
        <f t="shared" si="2"/>
        <v>281.69000000000005</v>
      </c>
      <c r="S17" s="10">
        <v>0.54600000000000004</v>
      </c>
      <c r="T17" s="10" t="s">
        <v>20</v>
      </c>
      <c r="U17" s="4" t="s">
        <v>21</v>
      </c>
    </row>
    <row r="18" spans="1:21">
      <c r="A18" s="6">
        <f t="shared" si="1"/>
        <v>55.730000000000004</v>
      </c>
      <c r="B18" s="6">
        <v>21</v>
      </c>
      <c r="C18" s="6">
        <v>0</v>
      </c>
      <c r="D18" s="6">
        <v>12.64</v>
      </c>
      <c r="E18" s="6">
        <v>0.6</v>
      </c>
      <c r="F18" s="6">
        <v>1.1499999999999999</v>
      </c>
      <c r="G18" s="6">
        <v>5.5</v>
      </c>
      <c r="H18" s="6">
        <v>3.3</v>
      </c>
      <c r="I18" s="6">
        <v>0</v>
      </c>
      <c r="J18" s="6">
        <v>0.08</v>
      </c>
      <c r="K18" s="6">
        <v>0</v>
      </c>
      <c r="L18" s="6">
        <v>0</v>
      </c>
      <c r="M18" s="10">
        <v>11.06</v>
      </c>
      <c r="N18" s="10">
        <v>1342.11</v>
      </c>
      <c r="O18" s="4">
        <v>1213.1500000000001</v>
      </c>
      <c r="P18" s="10">
        <f t="shared" si="0"/>
        <v>128.95999999999981</v>
      </c>
      <c r="Q18" s="10">
        <v>934.35</v>
      </c>
      <c r="R18" s="10">
        <f t="shared" si="2"/>
        <v>278.80000000000007</v>
      </c>
      <c r="S18" s="10">
        <v>0.58499999999999996</v>
      </c>
      <c r="T18" s="10" t="s">
        <v>20</v>
      </c>
      <c r="U18" s="4" t="s">
        <v>21</v>
      </c>
    </row>
    <row r="19" spans="1:21">
      <c r="A19" s="6">
        <f t="shared" si="1"/>
        <v>52.508900000000011</v>
      </c>
      <c r="B19" s="6">
        <v>18.8</v>
      </c>
      <c r="C19" s="6">
        <v>3.5000000000000003E-2</v>
      </c>
      <c r="D19" s="6">
        <v>18.9756</v>
      </c>
      <c r="E19" s="6">
        <v>0.53500000000000003</v>
      </c>
      <c r="F19" s="6">
        <v>0.97</v>
      </c>
      <c r="G19" s="6">
        <v>5.21</v>
      </c>
      <c r="H19" s="6">
        <v>2.94</v>
      </c>
      <c r="I19" s="6">
        <v>0</v>
      </c>
      <c r="J19" s="6">
        <v>2.5499999999999998E-2</v>
      </c>
      <c r="K19" s="6">
        <v>0</v>
      </c>
      <c r="L19" s="6">
        <v>0</v>
      </c>
      <c r="M19" s="10">
        <v>8.3800000000000008</v>
      </c>
      <c r="N19" s="10">
        <v>1360.75</v>
      </c>
      <c r="O19" s="4">
        <v>1208.71</v>
      </c>
      <c r="P19" s="10">
        <f t="shared" si="0"/>
        <v>152.03999999999996</v>
      </c>
      <c r="Q19" s="10">
        <v>909.28</v>
      </c>
      <c r="R19" s="10">
        <f t="shared" si="2"/>
        <v>299.43000000000006</v>
      </c>
      <c r="S19" s="11">
        <v>0.56000000000000005</v>
      </c>
      <c r="T19" s="10" t="s">
        <v>20</v>
      </c>
      <c r="U19" s="4" t="s">
        <v>21</v>
      </c>
    </row>
    <row r="20" spans="1:21">
      <c r="A20" s="6">
        <f t="shared" si="1"/>
        <v>53.322999999999993</v>
      </c>
      <c r="B20" s="6">
        <v>18.48</v>
      </c>
      <c r="C20" s="6">
        <v>0</v>
      </c>
      <c r="D20" s="6">
        <v>18.3</v>
      </c>
      <c r="E20" s="6">
        <v>0.49</v>
      </c>
      <c r="F20" s="6">
        <v>0.95</v>
      </c>
      <c r="G20" s="6">
        <v>5.44</v>
      </c>
      <c r="H20" s="6">
        <v>2.99</v>
      </c>
      <c r="I20" s="6">
        <v>0</v>
      </c>
      <c r="J20" s="6">
        <v>2.7E-2</v>
      </c>
      <c r="K20" s="6">
        <v>0</v>
      </c>
      <c r="L20" s="6">
        <v>0</v>
      </c>
      <c r="M20" s="10">
        <v>7.44</v>
      </c>
      <c r="N20" s="10">
        <v>1359.01</v>
      </c>
      <c r="O20" s="4">
        <v>1209.33</v>
      </c>
      <c r="P20" s="10">
        <f t="shared" si="0"/>
        <v>149.68000000000006</v>
      </c>
      <c r="Q20" s="10">
        <v>887.8</v>
      </c>
      <c r="R20" s="10">
        <f t="shared" si="2"/>
        <v>321.52999999999997</v>
      </c>
      <c r="S20" s="10">
        <v>0.56299999999999994</v>
      </c>
      <c r="T20" s="10" t="s">
        <v>21</v>
      </c>
      <c r="U20" s="4" t="s">
        <v>21</v>
      </c>
    </row>
    <row r="21" spans="1:21">
      <c r="A21" s="6">
        <f t="shared" si="1"/>
        <v>53.445</v>
      </c>
      <c r="B21" s="6">
        <v>18.82</v>
      </c>
      <c r="C21" s="6">
        <v>0</v>
      </c>
      <c r="D21" s="6">
        <v>17.809999999999999</v>
      </c>
      <c r="E21" s="6">
        <v>0.5</v>
      </c>
      <c r="F21" s="6">
        <v>0.99</v>
      </c>
      <c r="G21" s="6">
        <v>5.41</v>
      </c>
      <c r="H21" s="6">
        <v>3</v>
      </c>
      <c r="I21" s="6">
        <v>0</v>
      </c>
      <c r="J21" s="6">
        <v>2.5000000000000001E-2</v>
      </c>
      <c r="K21" s="6">
        <v>0</v>
      </c>
      <c r="L21" s="6">
        <v>0</v>
      </c>
      <c r="M21" s="10">
        <v>7.92</v>
      </c>
      <c r="N21" s="10">
        <v>1357.71</v>
      </c>
      <c r="O21" s="4">
        <v>1207.79</v>
      </c>
      <c r="P21" s="10">
        <f t="shared" si="0"/>
        <v>149.92000000000007</v>
      </c>
      <c r="Q21" s="10">
        <v>895.21</v>
      </c>
      <c r="R21" s="10">
        <f t="shared" si="2"/>
        <v>312.57999999999993</v>
      </c>
      <c r="S21" s="10">
        <v>0.56899999999999995</v>
      </c>
      <c r="T21" s="10" t="s">
        <v>21</v>
      </c>
      <c r="U21" s="4" t="s">
        <v>21</v>
      </c>
    </row>
    <row r="22" spans="1:21">
      <c r="A22" s="6">
        <f t="shared" si="1"/>
        <v>52.412099999999995</v>
      </c>
      <c r="B22" s="6">
        <v>19.010000000000002</v>
      </c>
      <c r="C22" s="6">
        <v>0.02</v>
      </c>
      <c r="D22" s="6">
        <v>18.8279</v>
      </c>
      <c r="E22" s="6">
        <v>0.56999999999999995</v>
      </c>
      <c r="F22" s="6">
        <v>1</v>
      </c>
      <c r="G22" s="6">
        <v>5.07</v>
      </c>
      <c r="H22" s="6">
        <v>3.06</v>
      </c>
      <c r="I22" s="6">
        <v>0</v>
      </c>
      <c r="J22" s="6">
        <v>0.03</v>
      </c>
      <c r="K22" s="6">
        <v>0</v>
      </c>
      <c r="L22" s="6">
        <v>0</v>
      </c>
      <c r="M22" s="10">
        <v>8.98</v>
      </c>
      <c r="N22" s="10">
        <v>1360.5</v>
      </c>
      <c r="O22" s="4">
        <v>1210.2</v>
      </c>
      <c r="P22" s="10">
        <f t="shared" si="0"/>
        <v>150.29999999999995</v>
      </c>
      <c r="Q22" s="10">
        <v>916.21</v>
      </c>
      <c r="R22" s="10">
        <f t="shared" si="2"/>
        <v>293.99</v>
      </c>
      <c r="S22" s="10">
        <v>0.55500000000000005</v>
      </c>
      <c r="T22" s="10" t="s">
        <v>20</v>
      </c>
      <c r="U22" s="4" t="s">
        <v>21</v>
      </c>
    </row>
    <row r="23" spans="1:21">
      <c r="A23" s="6">
        <f t="shared" si="1"/>
        <v>53.699799999999989</v>
      </c>
      <c r="B23" s="6">
        <v>17.7</v>
      </c>
      <c r="C23" s="6">
        <v>7.1999999999999998E-3</v>
      </c>
      <c r="D23" s="6">
        <v>19.23</v>
      </c>
      <c r="E23" s="6">
        <v>0.49</v>
      </c>
      <c r="F23" s="6">
        <v>0.93</v>
      </c>
      <c r="G23" s="6">
        <v>4.9800000000000004</v>
      </c>
      <c r="H23" s="6">
        <v>2.94</v>
      </c>
      <c r="I23" s="6">
        <v>0</v>
      </c>
      <c r="J23" s="6">
        <v>2.3E-2</v>
      </c>
      <c r="K23" s="6">
        <v>0</v>
      </c>
      <c r="L23" s="6">
        <v>0</v>
      </c>
      <c r="M23" s="10">
        <v>6.83</v>
      </c>
      <c r="N23" s="10">
        <v>1367.67</v>
      </c>
      <c r="O23" s="4">
        <v>1223.94</v>
      </c>
      <c r="P23" s="10">
        <f t="shared" si="0"/>
        <v>143.73000000000002</v>
      </c>
      <c r="Q23" s="10">
        <v>874.7</v>
      </c>
      <c r="R23" s="10">
        <f t="shared" si="2"/>
        <v>349.24</v>
      </c>
      <c r="S23" s="10">
        <v>0.54900000000000004</v>
      </c>
      <c r="T23" s="10" t="s">
        <v>21</v>
      </c>
      <c r="U23" s="4" t="s">
        <v>21</v>
      </c>
    </row>
    <row r="24" spans="1:21">
      <c r="A24" s="6">
        <f t="shared" si="1"/>
        <v>52.623300000000008</v>
      </c>
      <c r="B24" s="6">
        <v>18.86</v>
      </c>
      <c r="C24" s="6">
        <v>7.0000000000000007E-2</v>
      </c>
      <c r="D24" s="6">
        <v>18.23</v>
      </c>
      <c r="E24" s="6">
        <v>0.54700000000000004</v>
      </c>
      <c r="F24" s="6">
        <v>1.0960000000000001</v>
      </c>
      <c r="G24" s="6">
        <v>5.3479999999999999</v>
      </c>
      <c r="H24" s="6">
        <v>3.1869999999999998</v>
      </c>
      <c r="I24" s="6">
        <v>0</v>
      </c>
      <c r="J24" s="6">
        <v>3.5999999999999997E-2</v>
      </c>
      <c r="K24" s="6">
        <v>2.7000000000000001E-3</v>
      </c>
      <c r="L24" s="6">
        <v>0</v>
      </c>
      <c r="M24" s="10">
        <v>9.5500000000000007</v>
      </c>
      <c r="N24" s="10">
        <v>1354.44</v>
      </c>
      <c r="O24" s="4">
        <v>1174.32</v>
      </c>
      <c r="P24" s="10">
        <f t="shared" si="0"/>
        <v>180.12000000000012</v>
      </c>
      <c r="Q24" s="10">
        <v>916.02</v>
      </c>
      <c r="R24" s="10">
        <f t="shared" si="2"/>
        <v>258.29999999999995</v>
      </c>
      <c r="S24" s="10">
        <v>0.56699999999999995</v>
      </c>
      <c r="T24" s="10" t="s">
        <v>21</v>
      </c>
      <c r="U24" s="4" t="s">
        <v>21</v>
      </c>
    </row>
    <row r="25" spans="1:21">
      <c r="A25" s="6">
        <f t="shared" si="1"/>
        <v>53.83</v>
      </c>
      <c r="B25" s="6">
        <v>19.53</v>
      </c>
      <c r="C25" s="6">
        <v>0</v>
      </c>
      <c r="D25" s="6">
        <v>19.23</v>
      </c>
      <c r="E25" s="6">
        <v>1.1499999999999999</v>
      </c>
      <c r="F25" s="6">
        <v>1.26</v>
      </c>
      <c r="G25" s="6">
        <v>3.18</v>
      </c>
      <c r="H25" s="6">
        <v>1.82</v>
      </c>
      <c r="I25" s="6">
        <v>0</v>
      </c>
      <c r="J25" s="6">
        <v>0</v>
      </c>
      <c r="K25" s="6">
        <v>0</v>
      </c>
      <c r="L25" s="6">
        <v>0</v>
      </c>
      <c r="M25" s="10">
        <v>16.64</v>
      </c>
      <c r="N25" s="10">
        <v>1383.58</v>
      </c>
      <c r="O25" s="4">
        <v>1259.6099999999999</v>
      </c>
      <c r="P25" s="10">
        <f t="shared" si="0"/>
        <v>123.97000000000003</v>
      </c>
      <c r="Q25" s="10">
        <v>960.84</v>
      </c>
      <c r="R25" s="10">
        <f t="shared" si="2"/>
        <v>298.76999999999987</v>
      </c>
      <c r="S25" s="10">
        <v>0.50900000000000001</v>
      </c>
      <c r="T25" s="10" t="s">
        <v>20</v>
      </c>
      <c r="U25" s="4" t="s">
        <v>21</v>
      </c>
    </row>
    <row r="26" spans="1:21">
      <c r="A26" s="6">
        <f t="shared" si="1"/>
        <v>53.379999999999988</v>
      </c>
      <c r="B26" s="6">
        <v>19.87</v>
      </c>
      <c r="C26" s="6">
        <v>0</v>
      </c>
      <c r="D26" s="6">
        <v>19.48</v>
      </c>
      <c r="E26" s="6">
        <v>1.1499999999999999</v>
      </c>
      <c r="F26" s="6">
        <v>1.17</v>
      </c>
      <c r="G26" s="6">
        <v>3.2</v>
      </c>
      <c r="H26" s="6">
        <v>1.75</v>
      </c>
      <c r="I26" s="6">
        <v>0</v>
      </c>
      <c r="J26" s="6">
        <v>0</v>
      </c>
      <c r="K26" s="6">
        <v>0</v>
      </c>
      <c r="L26" s="6">
        <v>0</v>
      </c>
      <c r="M26" s="10">
        <v>15.87</v>
      </c>
      <c r="N26" s="10">
        <v>1384.38</v>
      </c>
      <c r="O26" s="4">
        <v>1258.5999999999999</v>
      </c>
      <c r="P26" s="10">
        <f t="shared" si="0"/>
        <v>125.7800000000002</v>
      </c>
      <c r="Q26" s="10">
        <v>957.36</v>
      </c>
      <c r="R26" s="10">
        <f t="shared" si="2"/>
        <v>301.2399999999999</v>
      </c>
      <c r="S26" s="10">
        <v>0.50600000000000001</v>
      </c>
      <c r="T26" s="10" t="s">
        <v>20</v>
      </c>
      <c r="U26" s="4" t="s">
        <v>21</v>
      </c>
    </row>
    <row r="27" spans="1:21">
      <c r="A27" s="6">
        <f t="shared" si="1"/>
        <v>54.120000000000012</v>
      </c>
      <c r="B27" s="6">
        <v>20.57</v>
      </c>
      <c r="C27" s="6">
        <v>0</v>
      </c>
      <c r="D27" s="6">
        <v>18.329999999999998</v>
      </c>
      <c r="E27" s="6">
        <v>0.71</v>
      </c>
      <c r="F27" s="6">
        <v>1.23</v>
      </c>
      <c r="G27" s="6">
        <v>3.26</v>
      </c>
      <c r="H27" s="6">
        <v>1.78</v>
      </c>
      <c r="I27" s="6">
        <v>0</v>
      </c>
      <c r="J27" s="6">
        <v>0</v>
      </c>
      <c r="K27" s="6">
        <v>0</v>
      </c>
      <c r="L27" s="6">
        <v>0</v>
      </c>
      <c r="M27" s="10">
        <v>12.09</v>
      </c>
      <c r="N27" s="10">
        <v>1381.65</v>
      </c>
      <c r="O27" s="4">
        <v>1254.6300000000001</v>
      </c>
      <c r="P27" s="10">
        <f t="shared" si="0"/>
        <v>127.01999999999998</v>
      </c>
      <c r="Q27" s="10">
        <v>939.02</v>
      </c>
      <c r="R27" s="10">
        <f t="shared" si="2"/>
        <v>315.61000000000013</v>
      </c>
      <c r="S27" s="11">
        <v>0.57999999999999996</v>
      </c>
      <c r="T27" s="10" t="s">
        <v>20</v>
      </c>
      <c r="U27" s="4" t="s">
        <v>21</v>
      </c>
    </row>
    <row r="28" spans="1:21">
      <c r="A28" s="6">
        <f t="shared" si="1"/>
        <v>52.429999999999993</v>
      </c>
      <c r="B28" s="6">
        <v>20.71</v>
      </c>
      <c r="C28" s="6">
        <v>0</v>
      </c>
      <c r="D28" s="6">
        <v>19.23</v>
      </c>
      <c r="E28" s="6">
        <v>1.1100000000000001</v>
      </c>
      <c r="F28" s="6">
        <v>1.1499999999999999</v>
      </c>
      <c r="G28" s="6">
        <v>3.4</v>
      </c>
      <c r="H28" s="6">
        <v>1.97</v>
      </c>
      <c r="I28" s="6">
        <v>0</v>
      </c>
      <c r="J28" s="6">
        <v>0</v>
      </c>
      <c r="K28" s="6">
        <v>0</v>
      </c>
      <c r="L28" s="6">
        <v>0</v>
      </c>
      <c r="M28" s="10">
        <v>15.56</v>
      </c>
      <c r="N28" s="10">
        <v>1378.9</v>
      </c>
      <c r="O28" s="4">
        <v>1244.9000000000001</v>
      </c>
      <c r="P28" s="10">
        <f t="shared" si="0"/>
        <v>134</v>
      </c>
      <c r="Q28" s="10">
        <v>961.11</v>
      </c>
      <c r="R28" s="10">
        <f t="shared" si="2"/>
        <v>283.79000000000008</v>
      </c>
      <c r="S28" s="10">
        <v>0.51300000000000001</v>
      </c>
      <c r="T28" s="10" t="s">
        <v>20</v>
      </c>
      <c r="U28" s="4" t="s">
        <v>21</v>
      </c>
    </row>
    <row r="29" spans="1:21">
      <c r="A29" s="6">
        <f t="shared" si="1"/>
        <v>52.839999999999996</v>
      </c>
      <c r="B29" s="6">
        <v>21.1</v>
      </c>
      <c r="C29" s="6">
        <v>0</v>
      </c>
      <c r="D29" s="6">
        <v>18.7</v>
      </c>
      <c r="E29" s="6">
        <v>1.1399999999999999</v>
      </c>
      <c r="F29" s="6">
        <v>1.27</v>
      </c>
      <c r="G29" s="6">
        <v>3.11</v>
      </c>
      <c r="H29" s="6">
        <v>1.84</v>
      </c>
      <c r="I29" s="6">
        <v>0</v>
      </c>
      <c r="J29" s="6">
        <v>0</v>
      </c>
      <c r="K29" s="6">
        <v>0</v>
      </c>
      <c r="L29" s="6">
        <v>0</v>
      </c>
      <c r="M29" s="10">
        <v>16.940000000000001</v>
      </c>
      <c r="N29" s="10">
        <v>1379.51</v>
      </c>
      <c r="O29" s="4">
        <v>1250.78</v>
      </c>
      <c r="P29" s="10">
        <f t="shared" si="0"/>
        <v>128.73000000000002</v>
      </c>
      <c r="Q29" s="10">
        <v>969.31</v>
      </c>
      <c r="R29" s="10">
        <f t="shared" si="2"/>
        <v>281.47000000000003</v>
      </c>
      <c r="S29" s="10">
        <v>0.52500000000000002</v>
      </c>
      <c r="T29" s="10" t="s">
        <v>20</v>
      </c>
      <c r="U29" s="4" t="s">
        <v>21</v>
      </c>
    </row>
    <row r="30" spans="1:21">
      <c r="A30" s="6">
        <f t="shared" si="1"/>
        <v>52.94469999999999</v>
      </c>
      <c r="B30" s="6">
        <v>18.87</v>
      </c>
      <c r="C30" s="6">
        <v>0</v>
      </c>
      <c r="D30" s="6">
        <v>18.2667</v>
      </c>
      <c r="E30" s="6">
        <v>0.53</v>
      </c>
      <c r="F30" s="6">
        <v>1.04</v>
      </c>
      <c r="G30" s="6">
        <v>5.28</v>
      </c>
      <c r="H30" s="6">
        <v>3.03</v>
      </c>
      <c r="I30" s="6">
        <v>0</v>
      </c>
      <c r="J30" s="6">
        <v>2.9000000000000001E-2</v>
      </c>
      <c r="K30" s="6">
        <v>9.5999999999999992E-3</v>
      </c>
      <c r="L30" s="6">
        <v>0</v>
      </c>
      <c r="M30" s="10">
        <v>8.9</v>
      </c>
      <c r="N30" s="10">
        <v>1357.08</v>
      </c>
      <c r="O30" s="4">
        <v>1176.69</v>
      </c>
      <c r="P30" s="10">
        <f t="shared" si="0"/>
        <v>180.38999999999987</v>
      </c>
      <c r="Q30" s="10">
        <v>908.36</v>
      </c>
      <c r="R30" s="10">
        <f t="shared" si="2"/>
        <v>268.33000000000004</v>
      </c>
      <c r="S30" s="10">
        <v>0.56899999999999995</v>
      </c>
      <c r="T30" s="10" t="s">
        <v>21</v>
      </c>
      <c r="U30" s="4" t="s">
        <v>21</v>
      </c>
    </row>
    <row r="31" spans="1:21">
      <c r="A31" s="6">
        <f t="shared" si="1"/>
        <v>52.800000000000004</v>
      </c>
      <c r="B31" s="7">
        <v>18.97</v>
      </c>
      <c r="C31" s="7">
        <v>0</v>
      </c>
      <c r="D31" s="7">
        <v>18.532</v>
      </c>
      <c r="E31" s="7">
        <v>0.62</v>
      </c>
      <c r="F31" s="7">
        <v>0.97</v>
      </c>
      <c r="G31" s="7">
        <v>4.99</v>
      </c>
      <c r="H31" s="7">
        <v>3.07</v>
      </c>
      <c r="I31" s="7">
        <v>0</v>
      </c>
      <c r="J31" s="7">
        <v>4.8000000000000001E-2</v>
      </c>
      <c r="K31" s="7">
        <v>0</v>
      </c>
      <c r="L31" s="7">
        <v>0</v>
      </c>
      <c r="M31" s="10">
        <v>9.1199999999999992</v>
      </c>
      <c r="N31" s="10">
        <v>1361.2</v>
      </c>
      <c r="O31" s="4">
        <v>1218.33</v>
      </c>
      <c r="P31" s="10">
        <f t="shared" si="0"/>
        <v>142.87000000000012</v>
      </c>
      <c r="Q31" s="10">
        <v>914.25</v>
      </c>
      <c r="R31" s="10">
        <f t="shared" si="2"/>
        <v>304.07999999999993</v>
      </c>
      <c r="S31" s="10">
        <v>0.54200000000000004</v>
      </c>
      <c r="T31" s="10" t="s">
        <v>20</v>
      </c>
      <c r="U31" s="4" t="s">
        <v>21</v>
      </c>
    </row>
    <row r="32" spans="1:21">
      <c r="A32" s="6">
        <f t="shared" si="1"/>
        <v>52.480000000000004</v>
      </c>
      <c r="B32" s="7">
        <v>18.93</v>
      </c>
      <c r="C32" s="7">
        <v>0</v>
      </c>
      <c r="D32" s="7">
        <v>18.532</v>
      </c>
      <c r="E32" s="7">
        <v>0.62</v>
      </c>
      <c r="F32" s="7">
        <v>0.97</v>
      </c>
      <c r="G32" s="7">
        <v>5.34</v>
      </c>
      <c r="H32" s="7">
        <v>3.08</v>
      </c>
      <c r="I32" s="7">
        <v>0</v>
      </c>
      <c r="J32" s="7">
        <v>4.8000000000000001E-2</v>
      </c>
      <c r="K32" s="7">
        <v>0</v>
      </c>
      <c r="L32" s="7">
        <v>0</v>
      </c>
      <c r="M32" s="10">
        <v>9.1199999999999992</v>
      </c>
      <c r="N32" s="10">
        <v>1356.85</v>
      </c>
      <c r="O32" s="4">
        <v>1209.22</v>
      </c>
      <c r="P32" s="10">
        <f t="shared" si="0"/>
        <v>147.62999999999988</v>
      </c>
      <c r="Q32" s="10">
        <v>917.52</v>
      </c>
      <c r="R32" s="10">
        <f t="shared" si="2"/>
        <v>291.70000000000005</v>
      </c>
      <c r="S32" s="10">
        <v>0.54200000000000004</v>
      </c>
      <c r="T32" s="10" t="s">
        <v>20</v>
      </c>
      <c r="U32" s="4" t="s">
        <v>21</v>
      </c>
    </row>
    <row r="33" spans="1:21">
      <c r="A33" s="6">
        <f t="shared" si="1"/>
        <v>51.78</v>
      </c>
      <c r="B33" s="7">
        <v>18.579999999999998</v>
      </c>
      <c r="C33" s="7">
        <v>0</v>
      </c>
      <c r="D33" s="7">
        <v>19.462</v>
      </c>
      <c r="E33" s="7">
        <v>0.62</v>
      </c>
      <c r="F33" s="7">
        <v>0.97</v>
      </c>
      <c r="G33" s="7">
        <v>5.5</v>
      </c>
      <c r="H33" s="7">
        <v>3.04</v>
      </c>
      <c r="I33" s="7">
        <v>0</v>
      </c>
      <c r="J33" s="7">
        <v>4.8000000000000001E-2</v>
      </c>
      <c r="K33" s="7">
        <v>0</v>
      </c>
      <c r="L33" s="7">
        <v>0</v>
      </c>
      <c r="M33" s="10">
        <v>9.16</v>
      </c>
      <c r="N33" s="10">
        <v>1355.99</v>
      </c>
      <c r="O33" s="4">
        <v>1203.94</v>
      </c>
      <c r="P33" s="10">
        <f t="shared" si="0"/>
        <v>152.04999999999995</v>
      </c>
      <c r="Q33" s="10">
        <v>917.92</v>
      </c>
      <c r="R33" s="10">
        <f t="shared" si="2"/>
        <v>286.0200000000001</v>
      </c>
      <c r="S33" s="10">
        <v>0.53700000000000003</v>
      </c>
      <c r="T33" s="10" t="s">
        <v>20</v>
      </c>
      <c r="U33" s="4" t="s">
        <v>21</v>
      </c>
    </row>
    <row r="34" spans="1:21">
      <c r="A34" s="6">
        <f t="shared" si="1"/>
        <v>53.08</v>
      </c>
      <c r="B34" s="7">
        <v>18.899999999999999</v>
      </c>
      <c r="C34" s="7">
        <v>0</v>
      </c>
      <c r="D34" s="7">
        <v>18.100000000000001</v>
      </c>
      <c r="E34" s="7">
        <v>1.01</v>
      </c>
      <c r="F34" s="7">
        <v>0.47</v>
      </c>
      <c r="G34" s="7">
        <v>5.4</v>
      </c>
      <c r="H34" s="7">
        <v>3.01</v>
      </c>
      <c r="I34" s="7">
        <v>0</v>
      </c>
      <c r="J34" s="7">
        <v>0.03</v>
      </c>
      <c r="K34" s="7">
        <v>0</v>
      </c>
      <c r="L34" s="7">
        <v>0</v>
      </c>
      <c r="M34" s="10">
        <v>8.18</v>
      </c>
      <c r="N34" s="10">
        <v>1365.67</v>
      </c>
      <c r="O34" s="4">
        <v>1220.8699999999999</v>
      </c>
      <c r="P34" s="10">
        <f t="shared" si="0"/>
        <v>144.80000000000018</v>
      </c>
      <c r="Q34" s="10">
        <v>893.68</v>
      </c>
      <c r="R34" s="10">
        <f t="shared" si="2"/>
        <v>327.18999999999994</v>
      </c>
      <c r="S34" s="10">
        <v>0.437</v>
      </c>
      <c r="T34" s="10" t="s">
        <v>20</v>
      </c>
      <c r="U34" s="4" t="s">
        <v>21</v>
      </c>
    </row>
    <row r="35" spans="1:21">
      <c r="A35" s="6">
        <f t="shared" si="1"/>
        <v>51.631</v>
      </c>
      <c r="B35" s="7">
        <v>18.96</v>
      </c>
      <c r="C35" s="7">
        <v>0</v>
      </c>
      <c r="D35" s="7">
        <v>19.100000000000001</v>
      </c>
      <c r="E35" s="7">
        <v>1.1599999999999999</v>
      </c>
      <c r="F35" s="7">
        <v>0.74</v>
      </c>
      <c r="G35" s="7">
        <v>5.4</v>
      </c>
      <c r="H35" s="7">
        <v>2.98</v>
      </c>
      <c r="I35" s="7">
        <v>0</v>
      </c>
      <c r="J35" s="7">
        <v>2.5000000000000001E-2</v>
      </c>
      <c r="K35" s="7">
        <v>4.0000000000000001E-3</v>
      </c>
      <c r="L35" s="7">
        <v>0</v>
      </c>
      <c r="M35" s="10">
        <v>12.71</v>
      </c>
      <c r="N35" s="10">
        <v>1360.05</v>
      </c>
      <c r="O35" s="4">
        <v>1179.42</v>
      </c>
      <c r="P35" s="10">
        <f t="shared" si="0"/>
        <v>180.62999999999988</v>
      </c>
      <c r="Q35" s="10">
        <v>937.01</v>
      </c>
      <c r="R35" s="10">
        <f t="shared" si="2"/>
        <v>242.41000000000008</v>
      </c>
      <c r="S35" s="10">
        <v>0.44700000000000001</v>
      </c>
      <c r="T35" s="10" t="s">
        <v>20</v>
      </c>
      <c r="U35" s="4" t="s">
        <v>21</v>
      </c>
    </row>
    <row r="36" spans="1:21">
      <c r="A36" s="6">
        <f t="shared" si="1"/>
        <v>48.58400000000001</v>
      </c>
      <c r="B36" s="7">
        <v>18.84</v>
      </c>
      <c r="C36" s="7">
        <v>2.94</v>
      </c>
      <c r="D36" s="7">
        <v>19.239999999999998</v>
      </c>
      <c r="E36" s="7">
        <v>1.1599999999999999</v>
      </c>
      <c r="F36" s="7">
        <v>0.74</v>
      </c>
      <c r="G36" s="7">
        <v>5.48</v>
      </c>
      <c r="H36" s="7">
        <v>2.99</v>
      </c>
      <c r="I36" s="7">
        <v>0</v>
      </c>
      <c r="J36" s="7">
        <v>2.1999999999999999E-2</v>
      </c>
      <c r="K36" s="7">
        <v>4.0000000000000001E-3</v>
      </c>
      <c r="L36" s="7">
        <v>0</v>
      </c>
      <c r="M36" s="10">
        <v>12.9</v>
      </c>
      <c r="N36" s="10">
        <v>1354.21</v>
      </c>
      <c r="O36" s="4">
        <v>1172.29</v>
      </c>
      <c r="P36" s="10">
        <f t="shared" si="0"/>
        <v>181.92000000000007</v>
      </c>
      <c r="Q36" s="10">
        <v>942.81</v>
      </c>
      <c r="R36" s="10">
        <f t="shared" si="2"/>
        <v>229.48000000000002</v>
      </c>
      <c r="S36" s="10">
        <v>0.46100000000000002</v>
      </c>
      <c r="T36" s="10" t="s">
        <v>20</v>
      </c>
      <c r="U36" s="4" t="s">
        <v>21</v>
      </c>
    </row>
    <row r="37" spans="1:21">
      <c r="A37" s="6">
        <f t="shared" si="1"/>
        <v>46.707000000000001</v>
      </c>
      <c r="B37" s="7">
        <v>18.739999999999998</v>
      </c>
      <c r="C37" s="7">
        <v>4.9800000000000004</v>
      </c>
      <c r="D37" s="7">
        <v>19.18</v>
      </c>
      <c r="E37" s="7">
        <v>1.1599999999999999</v>
      </c>
      <c r="F37" s="7">
        <v>0.74</v>
      </c>
      <c r="G37" s="7">
        <v>5.48</v>
      </c>
      <c r="H37" s="7">
        <v>3</v>
      </c>
      <c r="I37" s="7">
        <v>0</v>
      </c>
      <c r="J37" s="7">
        <v>0.01</v>
      </c>
      <c r="K37" s="7">
        <v>3.0000000000000001E-3</v>
      </c>
      <c r="L37" s="7">
        <v>0</v>
      </c>
      <c r="M37" s="10">
        <v>13.02</v>
      </c>
      <c r="N37" s="10">
        <v>1351.69</v>
      </c>
      <c r="O37" s="4">
        <v>1168.6300000000001</v>
      </c>
      <c r="P37" s="10">
        <f t="shared" si="0"/>
        <v>183.05999999999995</v>
      </c>
      <c r="Q37" s="10">
        <v>945.7</v>
      </c>
      <c r="R37" s="10">
        <f t="shared" si="2"/>
        <v>222.93000000000006</v>
      </c>
      <c r="S37" s="10">
        <v>0.47099999999999997</v>
      </c>
      <c r="T37" s="10" t="s">
        <v>20</v>
      </c>
      <c r="U37" s="4" t="s">
        <v>21</v>
      </c>
    </row>
    <row r="38" spans="1:21">
      <c r="A38" s="6">
        <f t="shared" si="1"/>
        <v>53.669999999999987</v>
      </c>
      <c r="B38" s="8">
        <v>19.21</v>
      </c>
      <c r="C38" s="8">
        <v>0.01</v>
      </c>
      <c r="D38" s="8">
        <v>17.66</v>
      </c>
      <c r="E38" s="8">
        <v>0.4</v>
      </c>
      <c r="F38" s="8">
        <v>1.03</v>
      </c>
      <c r="G38" s="8">
        <v>5.0599999999999996</v>
      </c>
      <c r="H38" s="8">
        <v>2.92</v>
      </c>
      <c r="I38" s="8">
        <v>0</v>
      </c>
      <c r="J38" s="8">
        <v>0.04</v>
      </c>
      <c r="K38" s="8">
        <v>0</v>
      </c>
      <c r="L38" s="8">
        <v>0</v>
      </c>
      <c r="M38" s="10">
        <v>4.01</v>
      </c>
      <c r="N38" s="10">
        <v>1360.1</v>
      </c>
      <c r="O38" s="4">
        <v>1216.44</v>
      </c>
      <c r="P38" s="10">
        <f t="shared" si="0"/>
        <v>143.65999999999985</v>
      </c>
      <c r="Q38" s="10">
        <v>832.2</v>
      </c>
      <c r="R38" s="10">
        <f t="shared" si="2"/>
        <v>384.24</v>
      </c>
      <c r="S38" s="10">
        <v>0.57099999999999995</v>
      </c>
      <c r="T38" s="10" t="s">
        <v>21</v>
      </c>
      <c r="U38" s="4" t="s">
        <v>21</v>
      </c>
    </row>
    <row r="39" spans="1:21">
      <c r="A39" s="6">
        <f t="shared" si="1"/>
        <v>52.63</v>
      </c>
      <c r="B39" s="7">
        <v>19</v>
      </c>
      <c r="C39" s="7">
        <v>0.02</v>
      </c>
      <c r="D39" s="7">
        <v>18.66</v>
      </c>
      <c r="E39" s="7">
        <v>0.51</v>
      </c>
      <c r="F39" s="7">
        <v>1.02</v>
      </c>
      <c r="G39" s="7">
        <v>5.05</v>
      </c>
      <c r="H39" s="7">
        <v>3.09</v>
      </c>
      <c r="I39" s="7">
        <v>0</v>
      </c>
      <c r="J39" s="7">
        <v>0.02</v>
      </c>
      <c r="K39" s="7">
        <v>0</v>
      </c>
      <c r="L39" s="7">
        <v>0</v>
      </c>
      <c r="M39" s="10">
        <v>8.1</v>
      </c>
      <c r="N39" s="10">
        <v>1360.89</v>
      </c>
      <c r="O39" s="4">
        <v>1208.96</v>
      </c>
      <c r="P39" s="10">
        <f t="shared" si="0"/>
        <v>151.93000000000006</v>
      </c>
      <c r="Q39" s="10">
        <v>897.03</v>
      </c>
      <c r="R39" s="10">
        <f t="shared" si="2"/>
        <v>311.93000000000006</v>
      </c>
      <c r="S39" s="10">
        <v>0.56599999999999995</v>
      </c>
      <c r="T39" s="10" t="s">
        <v>21</v>
      </c>
      <c r="U39" s="4" t="s">
        <v>21</v>
      </c>
    </row>
    <row r="40" spans="1:21">
      <c r="A40" s="6">
        <f t="shared" si="1"/>
        <v>52.560000000000009</v>
      </c>
      <c r="B40" s="7">
        <v>19.600000000000001</v>
      </c>
      <c r="C40" s="7">
        <v>0.05</v>
      </c>
      <c r="D40" s="7">
        <v>18.399999999999999</v>
      </c>
      <c r="E40" s="7">
        <v>0.42</v>
      </c>
      <c r="F40" s="7">
        <v>0.91</v>
      </c>
      <c r="G40" s="7">
        <v>4.95</v>
      </c>
      <c r="H40" s="7">
        <v>3.06</v>
      </c>
      <c r="I40" s="7">
        <v>0</v>
      </c>
      <c r="J40" s="7">
        <v>0.05</v>
      </c>
      <c r="K40" s="7">
        <v>0</v>
      </c>
      <c r="L40" s="7">
        <v>0</v>
      </c>
      <c r="M40" s="10">
        <v>4.88</v>
      </c>
      <c r="N40" s="10">
        <v>1361.17</v>
      </c>
      <c r="O40" s="4">
        <v>1216.92</v>
      </c>
      <c r="P40" s="10">
        <f t="shared" si="0"/>
        <v>144.25</v>
      </c>
      <c r="Q40" s="10">
        <v>847.35</v>
      </c>
      <c r="R40" s="10">
        <f t="shared" si="2"/>
        <v>369.57000000000005</v>
      </c>
      <c r="S40" s="10">
        <v>0.56999999999999995</v>
      </c>
      <c r="T40" s="10" t="s">
        <v>21</v>
      </c>
      <c r="U40" s="4" t="s">
        <v>21</v>
      </c>
    </row>
    <row r="41" spans="1:21" hidden="1">
      <c r="A41" s="6">
        <f t="shared" si="1"/>
        <v>57.400000000000006</v>
      </c>
      <c r="B41" s="6">
        <v>19.510000000000002</v>
      </c>
      <c r="C41" s="6">
        <v>13.49</v>
      </c>
      <c r="D41" s="6">
        <v>0.78</v>
      </c>
      <c r="E41" s="6">
        <v>1.38</v>
      </c>
      <c r="F41" s="6">
        <v>3.09</v>
      </c>
      <c r="G41" s="6">
        <v>0</v>
      </c>
      <c r="H41" s="6">
        <v>4.29</v>
      </c>
      <c r="I41" s="6">
        <v>0</v>
      </c>
      <c r="J41" s="6">
        <v>0.05</v>
      </c>
      <c r="K41" s="6">
        <v>4.0000000000000001E-3</v>
      </c>
      <c r="L41" s="6">
        <v>6.0000000000000001E-3</v>
      </c>
      <c r="M41" s="10">
        <v>23.93</v>
      </c>
      <c r="N41" s="10">
        <v>1361.21</v>
      </c>
      <c r="O41" s="4">
        <v>1279</v>
      </c>
      <c r="P41" s="10">
        <f t="shared" si="0"/>
        <v>82.210000000000036</v>
      </c>
      <c r="Q41" s="10">
        <v>1031.04</v>
      </c>
      <c r="R41" s="10">
        <f t="shared" si="2"/>
        <v>247.96000000000004</v>
      </c>
      <c r="S41" s="10">
        <v>0.23</v>
      </c>
      <c r="T41" s="10" t="s">
        <v>20</v>
      </c>
      <c r="U41" s="10" t="s">
        <v>20</v>
      </c>
    </row>
    <row r="42" spans="1:21" hidden="1">
      <c r="A42" s="6">
        <f t="shared" si="1"/>
        <v>57.93</v>
      </c>
      <c r="B42" s="6">
        <v>19.14</v>
      </c>
      <c r="C42" s="6">
        <v>13.34</v>
      </c>
      <c r="D42" s="6">
        <v>0.47</v>
      </c>
      <c r="E42" s="6">
        <v>1.46</v>
      </c>
      <c r="F42" s="6">
        <v>3.24</v>
      </c>
      <c r="G42" s="6">
        <v>0</v>
      </c>
      <c r="H42" s="6">
        <v>4.42</v>
      </c>
      <c r="I42" s="6">
        <v>0</v>
      </c>
      <c r="J42" s="6">
        <v>0</v>
      </c>
      <c r="K42" s="6">
        <v>0</v>
      </c>
      <c r="L42" s="6">
        <v>0</v>
      </c>
      <c r="M42" s="10">
        <v>25.58</v>
      </c>
      <c r="N42" s="10">
        <v>1361.98</v>
      </c>
      <c r="O42" s="4">
        <v>1327.56</v>
      </c>
      <c r="P42" s="10">
        <f t="shared" si="0"/>
        <v>34.420000000000073</v>
      </c>
      <c r="Q42" s="10">
        <v>1049.8800000000001</v>
      </c>
      <c r="R42" s="10">
        <f t="shared" si="2"/>
        <v>277.67999999999984</v>
      </c>
      <c r="S42" s="10">
        <v>0.17299999999999999</v>
      </c>
      <c r="T42" s="10" t="s">
        <v>20</v>
      </c>
      <c r="U42" s="10" t="s">
        <v>20</v>
      </c>
    </row>
    <row r="43" spans="1:21" s="2" customFormat="1" hidden="1">
      <c r="A43" s="6">
        <f t="shared" si="1"/>
        <v>57.550499999999985</v>
      </c>
      <c r="B43" s="6">
        <v>19.21</v>
      </c>
      <c r="C43" s="6">
        <v>14.2</v>
      </c>
      <c r="D43" s="6">
        <v>0.15</v>
      </c>
      <c r="E43" s="6">
        <v>1.39</v>
      </c>
      <c r="F43" s="6">
        <v>2.97</v>
      </c>
      <c r="G43" s="6">
        <v>0</v>
      </c>
      <c r="H43" s="6">
        <v>4.42</v>
      </c>
      <c r="I43" s="6">
        <v>0</v>
      </c>
      <c r="J43" s="6">
        <v>4.8000000000000001E-2</v>
      </c>
      <c r="K43" s="6">
        <v>5.4999999999999997E-3</v>
      </c>
      <c r="L43" s="6">
        <v>5.6000000000000001E-2</v>
      </c>
      <c r="M43" s="10">
        <v>23.4</v>
      </c>
      <c r="N43" s="10">
        <v>1362.51</v>
      </c>
      <c r="O43" s="4">
        <v>1263.31</v>
      </c>
      <c r="P43" s="10">
        <f t="shared" si="0"/>
        <v>99.200000000000045</v>
      </c>
      <c r="Q43" s="10">
        <v>1025.02</v>
      </c>
      <c r="R43" s="10">
        <f t="shared" si="2"/>
        <v>238.28999999999996</v>
      </c>
      <c r="S43" s="10">
        <v>0.26100000000000001</v>
      </c>
      <c r="T43" s="10" t="s">
        <v>20</v>
      </c>
      <c r="U43" s="10" t="s">
        <v>20</v>
      </c>
    </row>
    <row r="44" spans="1:21" hidden="1">
      <c r="A44" s="6">
        <f t="shared" si="1"/>
        <v>56.715899999999998</v>
      </c>
      <c r="B44" s="6">
        <v>19.52</v>
      </c>
      <c r="C44" s="6">
        <v>13.65</v>
      </c>
      <c r="D44" s="6">
        <v>0.77</v>
      </c>
      <c r="E44" s="6">
        <v>1.54</v>
      </c>
      <c r="F44" s="6">
        <v>3.2</v>
      </c>
      <c r="G44" s="6">
        <v>0</v>
      </c>
      <c r="H44" s="6">
        <v>4.5</v>
      </c>
      <c r="I44" s="6">
        <v>0</v>
      </c>
      <c r="J44" s="6">
        <v>0.04</v>
      </c>
      <c r="K44" s="6">
        <v>9.1000000000000004E-3</v>
      </c>
      <c r="L44" s="6">
        <v>5.5E-2</v>
      </c>
      <c r="M44" s="10">
        <v>26.12</v>
      </c>
      <c r="N44" s="10">
        <v>1357.27</v>
      </c>
      <c r="O44" s="4">
        <v>1261.5</v>
      </c>
      <c r="P44" s="10">
        <f t="shared" si="0"/>
        <v>95.769999999999982</v>
      </c>
      <c r="Q44" s="10">
        <v>1050.3699999999999</v>
      </c>
      <c r="R44" s="10">
        <f t="shared" si="2"/>
        <v>211.13000000000011</v>
      </c>
      <c r="S44" s="10">
        <v>0.184</v>
      </c>
      <c r="T44" s="10" t="s">
        <v>20</v>
      </c>
      <c r="U44" s="10" t="s">
        <v>20</v>
      </c>
    </row>
    <row r="45" spans="1:21" s="17" customFormat="1" hidden="1">
      <c r="A45" s="15">
        <f t="shared" si="1"/>
        <v>58.083000000000006</v>
      </c>
      <c r="B45" s="15">
        <v>19.5</v>
      </c>
      <c r="C45" s="15">
        <v>13.5</v>
      </c>
      <c r="D45" s="15">
        <v>0</v>
      </c>
      <c r="E45" s="15">
        <v>3.15</v>
      </c>
      <c r="F45" s="15">
        <v>1.4</v>
      </c>
      <c r="G45" s="15">
        <v>0</v>
      </c>
      <c r="H45" s="15">
        <v>4.25</v>
      </c>
      <c r="I45" s="15">
        <v>0</v>
      </c>
      <c r="J45" s="15">
        <v>0.06</v>
      </c>
      <c r="K45" s="15">
        <v>7.0000000000000001E-3</v>
      </c>
      <c r="L45" s="15">
        <v>0.05</v>
      </c>
      <c r="M45" s="16">
        <v>27.39</v>
      </c>
      <c r="N45" s="16">
        <v>1371.43</v>
      </c>
      <c r="O45" s="4">
        <v>1277.6199999999999</v>
      </c>
      <c r="P45" s="16">
        <f t="shared" si="0"/>
        <v>93.810000000000173</v>
      </c>
      <c r="Q45" s="16">
        <v>1027.49</v>
      </c>
      <c r="R45" s="10">
        <f t="shared" si="2"/>
        <v>250.12999999999988</v>
      </c>
      <c r="S45" s="16">
        <v>-0.09</v>
      </c>
      <c r="T45" s="10" t="s">
        <v>20</v>
      </c>
      <c r="U45" s="10" t="s">
        <v>20</v>
      </c>
    </row>
    <row r="46" spans="1:21" hidden="1">
      <c r="A46" s="6">
        <f t="shared" si="1"/>
        <v>58.830000000000005</v>
      </c>
      <c r="B46" s="7">
        <v>18.899999999999999</v>
      </c>
      <c r="C46" s="7">
        <v>13.55</v>
      </c>
      <c r="D46" s="7">
        <v>0</v>
      </c>
      <c r="E46" s="7">
        <v>1.55</v>
      </c>
      <c r="F46" s="7">
        <v>3.2</v>
      </c>
      <c r="G46" s="7">
        <v>0</v>
      </c>
      <c r="H46" s="7">
        <v>3.8</v>
      </c>
      <c r="I46" s="7">
        <v>0</v>
      </c>
      <c r="J46" s="7">
        <v>0.05</v>
      </c>
      <c r="K46" s="7">
        <v>7.0000000000000007E-2</v>
      </c>
      <c r="L46" s="7">
        <v>0.05</v>
      </c>
      <c r="M46" s="10">
        <v>25.87</v>
      </c>
      <c r="N46" s="10">
        <v>1358.6</v>
      </c>
      <c r="O46" s="4">
        <v>1270.3499999999999</v>
      </c>
      <c r="P46" s="10">
        <f t="shared" si="0"/>
        <v>88.25</v>
      </c>
      <c r="Q46" s="10">
        <v>1039.29</v>
      </c>
      <c r="R46" s="10">
        <f t="shared" si="2"/>
        <v>231.05999999999995</v>
      </c>
      <c r="S46" s="10">
        <v>0.32700000000000001</v>
      </c>
      <c r="T46" s="10" t="s">
        <v>20</v>
      </c>
      <c r="U46" s="10" t="s">
        <v>20</v>
      </c>
    </row>
    <row r="47" spans="1:21" hidden="1">
      <c r="A47" s="6">
        <f t="shared" si="1"/>
        <v>57.689999999999984</v>
      </c>
      <c r="B47" s="6">
        <v>15.93</v>
      </c>
      <c r="C47" s="6">
        <v>14.56</v>
      </c>
      <c r="D47" s="6">
        <v>0</v>
      </c>
      <c r="E47" s="6">
        <v>2.5099999999999998</v>
      </c>
      <c r="F47" s="6">
        <v>5.0199999999999996</v>
      </c>
      <c r="G47" s="6">
        <v>0</v>
      </c>
      <c r="H47" s="6">
        <v>3.02</v>
      </c>
      <c r="I47" s="6">
        <v>1.24</v>
      </c>
      <c r="J47" s="6">
        <v>1.6E-2</v>
      </c>
      <c r="K47" s="6">
        <v>1.4E-2</v>
      </c>
      <c r="L47" s="6">
        <v>0</v>
      </c>
      <c r="M47" s="10">
        <v>45.31</v>
      </c>
      <c r="N47" s="10">
        <v>1346.42</v>
      </c>
      <c r="O47" s="4">
        <v>1281.28</v>
      </c>
      <c r="P47" s="10">
        <f t="shared" si="0"/>
        <v>65.1400000000001</v>
      </c>
      <c r="Q47" s="10">
        <v>1157.8</v>
      </c>
      <c r="R47" s="10">
        <f t="shared" si="2"/>
        <v>123.48000000000002</v>
      </c>
      <c r="S47" s="10">
        <v>0.14399999999999999</v>
      </c>
      <c r="T47" s="10" t="s">
        <v>20</v>
      </c>
      <c r="U47" s="10" t="s">
        <v>21</v>
      </c>
    </row>
    <row r="48" spans="1:21" hidden="1">
      <c r="A48" s="6">
        <f t="shared" si="1"/>
        <v>56.35799999999999</v>
      </c>
      <c r="B48" s="6">
        <v>16.66</v>
      </c>
      <c r="C48" s="6">
        <v>14.84</v>
      </c>
      <c r="D48" s="6">
        <v>0.18</v>
      </c>
      <c r="E48" s="6">
        <v>2.5099999999999998</v>
      </c>
      <c r="F48" s="6">
        <v>5.04</v>
      </c>
      <c r="G48" s="6">
        <v>0</v>
      </c>
      <c r="H48" s="6">
        <v>3.08</v>
      </c>
      <c r="I48" s="6">
        <v>1.27</v>
      </c>
      <c r="J48" s="6">
        <v>0.01</v>
      </c>
      <c r="K48" s="6">
        <v>1.2999999999999999E-2</v>
      </c>
      <c r="L48" s="6">
        <v>3.9E-2</v>
      </c>
      <c r="M48" s="10">
        <v>45.69</v>
      </c>
      <c r="N48" s="10">
        <v>1342.72</v>
      </c>
      <c r="O48" s="4">
        <v>1264.78</v>
      </c>
      <c r="P48" s="10">
        <f t="shared" si="0"/>
        <v>77.940000000000055</v>
      </c>
      <c r="Q48" s="10">
        <v>1160.28</v>
      </c>
      <c r="R48" s="10">
        <f t="shared" si="2"/>
        <v>104.5</v>
      </c>
      <c r="S48" s="10">
        <v>0.16900000000000001</v>
      </c>
      <c r="T48" s="10" t="s">
        <v>20</v>
      </c>
      <c r="U48" s="10" t="s">
        <v>21</v>
      </c>
    </row>
    <row r="49" spans="1:21" hidden="1">
      <c r="A49" s="6">
        <f t="shared" si="1"/>
        <v>57.285000000000004</v>
      </c>
      <c r="B49" s="6">
        <v>16.100000000000001</v>
      </c>
      <c r="C49" s="6">
        <v>14.75</v>
      </c>
      <c r="D49" s="6">
        <v>0</v>
      </c>
      <c r="E49" s="6">
        <v>2.5</v>
      </c>
      <c r="F49" s="6">
        <v>5.01</v>
      </c>
      <c r="G49" s="6">
        <v>0</v>
      </c>
      <c r="H49" s="6">
        <v>3.06</v>
      </c>
      <c r="I49" s="6">
        <v>1.28</v>
      </c>
      <c r="J49" s="6">
        <v>1.4999999999999999E-2</v>
      </c>
      <c r="K49" s="6">
        <v>0</v>
      </c>
      <c r="L49" s="6">
        <v>0</v>
      </c>
      <c r="M49" s="10">
        <v>45.27</v>
      </c>
      <c r="N49" s="10">
        <v>1346.7</v>
      </c>
      <c r="O49" s="4">
        <v>1303.79</v>
      </c>
      <c r="P49" s="10">
        <f t="shared" si="0"/>
        <v>42.910000000000082</v>
      </c>
      <c r="Q49" s="10">
        <v>1158.75</v>
      </c>
      <c r="R49" s="10">
        <f t="shared" si="2"/>
        <v>145.03999999999996</v>
      </c>
      <c r="S49" s="10">
        <v>0.14299999999999999</v>
      </c>
      <c r="T49" s="10" t="s">
        <v>20</v>
      </c>
      <c r="U49" s="10" t="s">
        <v>21</v>
      </c>
    </row>
    <row r="50" spans="1:21" hidden="1">
      <c r="A50" s="6">
        <f t="shared" si="1"/>
        <v>57.489999999999995</v>
      </c>
      <c r="B50" s="6">
        <v>16</v>
      </c>
      <c r="C50" s="6">
        <v>14.7</v>
      </c>
      <c r="D50" s="6">
        <v>0</v>
      </c>
      <c r="E50" s="6">
        <v>2.5</v>
      </c>
      <c r="F50" s="6">
        <v>5</v>
      </c>
      <c r="G50" s="6">
        <v>0</v>
      </c>
      <c r="H50" s="6">
        <v>3</v>
      </c>
      <c r="I50" s="6">
        <v>1.25</v>
      </c>
      <c r="J50" s="6">
        <v>1.4999999999999999E-2</v>
      </c>
      <c r="K50" s="6">
        <v>1.4999999999999999E-2</v>
      </c>
      <c r="L50" s="6">
        <v>0.03</v>
      </c>
      <c r="M50" s="10">
        <v>45.2</v>
      </c>
      <c r="N50" s="10">
        <v>1346.21</v>
      </c>
      <c r="O50" s="4">
        <v>1272.03</v>
      </c>
      <c r="P50" s="10">
        <f t="shared" si="0"/>
        <v>74.180000000000064</v>
      </c>
      <c r="Q50" s="10">
        <v>1157.24</v>
      </c>
      <c r="R50" s="10">
        <f t="shared" si="2"/>
        <v>114.78999999999996</v>
      </c>
      <c r="S50" s="10">
        <v>0.156</v>
      </c>
      <c r="T50" s="10" t="s">
        <v>20</v>
      </c>
      <c r="U50" s="10" t="s">
        <v>21</v>
      </c>
    </row>
    <row r="51" spans="1:21" hidden="1">
      <c r="A51" s="6">
        <f t="shared" si="1"/>
        <v>50.129999999999995</v>
      </c>
      <c r="B51" s="6">
        <v>13</v>
      </c>
      <c r="C51" s="6">
        <v>25</v>
      </c>
      <c r="D51" s="6">
        <v>0</v>
      </c>
      <c r="E51" s="6">
        <v>2.2999999999999998</v>
      </c>
      <c r="F51" s="6">
        <v>4.5</v>
      </c>
      <c r="G51" s="6">
        <v>1</v>
      </c>
      <c r="H51" s="6">
        <v>2.8</v>
      </c>
      <c r="I51" s="6">
        <v>1.2</v>
      </c>
      <c r="J51" s="6">
        <v>0.02</v>
      </c>
      <c r="K51" s="6">
        <v>0.02</v>
      </c>
      <c r="L51" s="6">
        <v>0.03</v>
      </c>
      <c r="M51" s="10">
        <v>42.31</v>
      </c>
      <c r="N51" s="10">
        <v>1357.3</v>
      </c>
      <c r="O51" s="4">
        <v>1272.49</v>
      </c>
      <c r="P51" s="10">
        <f t="shared" si="0"/>
        <v>84.809999999999945</v>
      </c>
      <c r="Q51" s="10">
        <v>1104.5899999999999</v>
      </c>
      <c r="R51" s="10">
        <f t="shared" si="2"/>
        <v>167.90000000000009</v>
      </c>
      <c r="S51" s="10">
        <v>0.40699999999999997</v>
      </c>
      <c r="T51" s="10" t="s">
        <v>20</v>
      </c>
      <c r="U51" s="10" t="s">
        <v>20</v>
      </c>
    </row>
    <row r="52" spans="1:21" hidden="1">
      <c r="A52" s="6">
        <f t="shared" si="1"/>
        <v>59.194999999999993</v>
      </c>
      <c r="B52" s="6">
        <v>15.7</v>
      </c>
      <c r="C52" s="6">
        <v>8.5</v>
      </c>
      <c r="D52" s="6">
        <v>4</v>
      </c>
      <c r="E52" s="6">
        <v>2.25</v>
      </c>
      <c r="F52" s="6">
        <v>3.4</v>
      </c>
      <c r="G52" s="6">
        <v>1.1000000000000001</v>
      </c>
      <c r="H52" s="6">
        <v>3.1</v>
      </c>
      <c r="I52" s="6">
        <v>2.7</v>
      </c>
      <c r="J52" s="6">
        <v>1.4999999999999999E-2</v>
      </c>
      <c r="K52" s="6">
        <v>0.01</v>
      </c>
      <c r="L52" s="6">
        <v>0.03</v>
      </c>
      <c r="M52" s="10">
        <v>36.89</v>
      </c>
      <c r="N52" s="10">
        <v>1355.98</v>
      </c>
      <c r="O52" s="4">
        <v>1266.6400000000001</v>
      </c>
      <c r="P52" s="10">
        <f t="shared" si="0"/>
        <v>89.339999999999918</v>
      </c>
      <c r="Q52" s="10">
        <v>1092.68</v>
      </c>
      <c r="R52" s="10">
        <f t="shared" si="2"/>
        <v>173.96000000000004</v>
      </c>
      <c r="S52" s="10">
        <v>0.16300000000000001</v>
      </c>
      <c r="T52" s="10" t="s">
        <v>20</v>
      </c>
      <c r="U52" s="10" t="s">
        <v>20</v>
      </c>
    </row>
    <row r="53" spans="1:21" hidden="1">
      <c r="A53" s="6">
        <f t="shared" si="1"/>
        <v>62.27640000000001</v>
      </c>
      <c r="B53" s="6">
        <v>19.8</v>
      </c>
      <c r="C53" s="6">
        <v>0</v>
      </c>
      <c r="D53" s="6">
        <v>0</v>
      </c>
      <c r="E53" s="6">
        <v>2.11</v>
      </c>
      <c r="F53" s="6">
        <v>1.1299999999999999</v>
      </c>
      <c r="G53" s="6">
        <v>0</v>
      </c>
      <c r="H53" s="6">
        <v>4.2300000000000004</v>
      </c>
      <c r="I53" s="6">
        <v>10.4</v>
      </c>
      <c r="J53" s="6">
        <v>4.5999999999999999E-2</v>
      </c>
      <c r="K53" s="6">
        <v>7.6E-3</v>
      </c>
      <c r="L53" s="6">
        <v>0</v>
      </c>
      <c r="M53" s="10">
        <v>20.67</v>
      </c>
      <c r="N53" s="10">
        <v>1375.19</v>
      </c>
      <c r="O53" s="4">
        <v>1292.7</v>
      </c>
      <c r="P53" s="10">
        <f t="shared" si="0"/>
        <v>82.490000000000009</v>
      </c>
      <c r="Q53" s="10">
        <v>963.96</v>
      </c>
      <c r="R53" s="10">
        <f t="shared" si="2"/>
        <v>328.74</v>
      </c>
      <c r="S53" s="10">
        <v>-0.08</v>
      </c>
      <c r="T53" s="10" t="s">
        <v>20</v>
      </c>
      <c r="U53" s="10" t="s">
        <v>20</v>
      </c>
    </row>
    <row r="54" spans="1:21" hidden="1">
      <c r="A54" s="6">
        <f t="shared" si="1"/>
        <v>61.7712</v>
      </c>
      <c r="B54" s="6">
        <v>19.850000000000001</v>
      </c>
      <c r="C54" s="6">
        <v>0</v>
      </c>
      <c r="D54" s="6">
        <v>0</v>
      </c>
      <c r="E54" s="6">
        <v>2.34</v>
      </c>
      <c r="F54" s="6">
        <v>1.36</v>
      </c>
      <c r="G54" s="6">
        <v>0</v>
      </c>
      <c r="H54" s="6">
        <v>4.24</v>
      </c>
      <c r="I54" s="6">
        <v>10.38</v>
      </c>
      <c r="J54" s="6">
        <v>5.0999999999999997E-2</v>
      </c>
      <c r="K54" s="6">
        <v>7.7999999999999996E-3</v>
      </c>
      <c r="L54" s="6">
        <v>0</v>
      </c>
      <c r="M54" s="10">
        <v>25.26</v>
      </c>
      <c r="N54" s="10">
        <v>1368.56</v>
      </c>
      <c r="O54" s="4">
        <v>1290.53</v>
      </c>
      <c r="P54" s="10">
        <f t="shared" si="0"/>
        <v>78.029999999999973</v>
      </c>
      <c r="Q54" s="10">
        <v>995.35</v>
      </c>
      <c r="R54" s="10">
        <f t="shared" si="2"/>
        <v>295.17999999999995</v>
      </c>
      <c r="S54" s="10">
        <v>-0.08</v>
      </c>
      <c r="T54" s="10" t="s">
        <v>20</v>
      </c>
      <c r="U54" s="10" t="s">
        <v>20</v>
      </c>
    </row>
    <row r="55" spans="1:21" hidden="1">
      <c r="A55" s="6">
        <f t="shared" si="1"/>
        <v>61.518499999999996</v>
      </c>
      <c r="B55" s="6">
        <v>19.88</v>
      </c>
      <c r="C55" s="6">
        <v>0</v>
      </c>
      <c r="D55" s="6">
        <v>0</v>
      </c>
      <c r="E55" s="6">
        <v>2.52</v>
      </c>
      <c r="F55" s="6">
        <v>1.48</v>
      </c>
      <c r="G55" s="6">
        <v>0</v>
      </c>
      <c r="H55" s="6">
        <v>4.2</v>
      </c>
      <c r="I55" s="6">
        <v>10.34</v>
      </c>
      <c r="J55" s="6">
        <v>5.3999999999999999E-2</v>
      </c>
      <c r="K55" s="6">
        <v>7.4999999999999997E-3</v>
      </c>
      <c r="L55" s="6">
        <v>0</v>
      </c>
      <c r="M55" s="10">
        <v>28.28</v>
      </c>
      <c r="N55" s="10">
        <v>1364.55</v>
      </c>
      <c r="O55" s="4">
        <v>1243.82</v>
      </c>
      <c r="P55" s="10">
        <f t="shared" si="0"/>
        <v>120.73000000000002</v>
      </c>
      <c r="Q55" s="10">
        <v>1012.86</v>
      </c>
      <c r="R55" s="10">
        <f t="shared" si="2"/>
        <v>230.95999999999992</v>
      </c>
      <c r="S55" s="10">
        <v>-0.08</v>
      </c>
      <c r="T55" s="10" t="s">
        <v>20</v>
      </c>
      <c r="U55" s="10" t="s">
        <v>20</v>
      </c>
    </row>
    <row r="56" spans="1:21" hidden="1">
      <c r="A56" s="6">
        <f t="shared" si="1"/>
        <v>61.753</v>
      </c>
      <c r="B56" s="7">
        <v>19.829999999999998</v>
      </c>
      <c r="C56" s="7">
        <v>0</v>
      </c>
      <c r="D56" s="7">
        <v>0</v>
      </c>
      <c r="E56" s="7">
        <v>2.34</v>
      </c>
      <c r="F56" s="7">
        <v>1.38</v>
      </c>
      <c r="G56" s="7">
        <v>0</v>
      </c>
      <c r="H56" s="7">
        <v>4.26</v>
      </c>
      <c r="I56" s="7">
        <v>10.41</v>
      </c>
      <c r="J56" s="7">
        <v>2.7E-2</v>
      </c>
      <c r="K56" s="7">
        <v>0</v>
      </c>
      <c r="L56" s="7">
        <v>0</v>
      </c>
      <c r="M56" s="10">
        <v>25.39</v>
      </c>
      <c r="N56" s="10">
        <v>1369.98</v>
      </c>
      <c r="O56" s="4">
        <v>1267.73</v>
      </c>
      <c r="P56" s="10">
        <f t="shared" si="0"/>
        <v>102.25</v>
      </c>
      <c r="Q56" s="10">
        <v>996.59</v>
      </c>
      <c r="R56" s="10">
        <f t="shared" si="2"/>
        <v>271.14</v>
      </c>
      <c r="S56" s="10">
        <v>-0.08</v>
      </c>
      <c r="T56" s="10" t="s">
        <v>20</v>
      </c>
      <c r="U56" s="10" t="s">
        <v>20</v>
      </c>
    </row>
    <row r="57" spans="1:21" hidden="1">
      <c r="A57" s="6">
        <f t="shared" si="1"/>
        <v>61.779000000000003</v>
      </c>
      <c r="B57" s="7">
        <v>19.850000000000001</v>
      </c>
      <c r="C57" s="7">
        <v>0</v>
      </c>
      <c r="D57" s="7">
        <v>0</v>
      </c>
      <c r="E57" s="7">
        <v>2.34</v>
      </c>
      <c r="F57" s="7">
        <v>1.36</v>
      </c>
      <c r="G57" s="7">
        <v>0</v>
      </c>
      <c r="H57" s="7">
        <v>4.24</v>
      </c>
      <c r="I57" s="7">
        <v>10.38</v>
      </c>
      <c r="J57" s="7">
        <v>5.0999999999999997E-2</v>
      </c>
      <c r="K57" s="7">
        <v>0</v>
      </c>
      <c r="L57" s="7">
        <v>0</v>
      </c>
      <c r="M57" s="10">
        <v>25.27</v>
      </c>
      <c r="N57" s="10">
        <v>1369.11</v>
      </c>
      <c r="O57" s="4">
        <v>1330.88</v>
      </c>
      <c r="P57" s="10">
        <f t="shared" si="0"/>
        <v>38.229999999999791</v>
      </c>
      <c r="Q57" s="10">
        <v>995.44</v>
      </c>
      <c r="R57" s="10">
        <f t="shared" si="2"/>
        <v>335.44000000000005</v>
      </c>
      <c r="S57" s="10">
        <v>-0.08</v>
      </c>
      <c r="T57" s="10" t="s">
        <v>20</v>
      </c>
      <c r="U57" s="10" t="s">
        <v>20</v>
      </c>
    </row>
    <row r="58" spans="1:21" hidden="1">
      <c r="A58" s="6">
        <f t="shared" si="1"/>
        <v>61.749000000000017</v>
      </c>
      <c r="B58" s="7">
        <v>19.82</v>
      </c>
      <c r="C58" s="7">
        <v>0</v>
      </c>
      <c r="D58" s="7">
        <v>0</v>
      </c>
      <c r="E58" s="7">
        <v>2.35</v>
      </c>
      <c r="F58" s="7">
        <v>1.37</v>
      </c>
      <c r="G58" s="7">
        <v>0</v>
      </c>
      <c r="H58" s="7">
        <v>4.2699999999999996</v>
      </c>
      <c r="I58" s="7">
        <v>10.37</v>
      </c>
      <c r="J58" s="7">
        <v>7.0999999999999994E-2</v>
      </c>
      <c r="K58" s="7">
        <v>0</v>
      </c>
      <c r="L58" s="7">
        <v>0</v>
      </c>
      <c r="M58" s="10">
        <v>25.52</v>
      </c>
      <c r="N58" s="10">
        <v>1367.86</v>
      </c>
      <c r="O58" s="4">
        <v>1330.15</v>
      </c>
      <c r="P58" s="10">
        <f t="shared" si="0"/>
        <v>37.709999999999809</v>
      </c>
      <c r="Q58" s="10">
        <v>997.06</v>
      </c>
      <c r="R58" s="10">
        <f t="shared" si="2"/>
        <v>333.09000000000015</v>
      </c>
      <c r="S58" s="10">
        <v>-0.08</v>
      </c>
      <c r="T58" s="10" t="s">
        <v>20</v>
      </c>
      <c r="U58" s="10" t="s">
        <v>20</v>
      </c>
    </row>
    <row r="59" spans="1:21">
      <c r="A59" s="6">
        <f t="shared" si="1"/>
        <v>53.00200000000001</v>
      </c>
      <c r="B59" s="6">
        <v>19</v>
      </c>
      <c r="C59" s="6">
        <v>0</v>
      </c>
      <c r="D59" s="6">
        <v>13.853999999999999</v>
      </c>
      <c r="E59" s="6">
        <v>0.7</v>
      </c>
      <c r="F59" s="6">
        <v>1.1000000000000001</v>
      </c>
      <c r="G59" s="6">
        <v>4.8</v>
      </c>
      <c r="H59" s="6">
        <v>7.5</v>
      </c>
      <c r="I59" s="6">
        <v>0</v>
      </c>
      <c r="J59" s="6">
        <v>0.04</v>
      </c>
      <c r="K59" s="6">
        <v>4.0000000000000001E-3</v>
      </c>
      <c r="L59" s="6">
        <v>0</v>
      </c>
      <c r="M59" s="10">
        <v>11.89</v>
      </c>
      <c r="N59" s="10">
        <v>1339.02</v>
      </c>
      <c r="O59" s="4">
        <v>1187.48</v>
      </c>
      <c r="P59" s="10">
        <f t="shared" si="0"/>
        <v>151.53999999999996</v>
      </c>
      <c r="Q59" s="10">
        <v>933.97</v>
      </c>
      <c r="R59" s="10">
        <f t="shared" si="2"/>
        <v>253.51</v>
      </c>
      <c r="S59" s="10">
        <v>0.50700000000000001</v>
      </c>
      <c r="T59" s="10" t="s">
        <v>20</v>
      </c>
      <c r="U59" s="4" t="s">
        <v>21</v>
      </c>
    </row>
    <row r="60" spans="1:21">
      <c r="A60" s="6">
        <f t="shared" si="1"/>
        <v>60.872</v>
      </c>
      <c r="B60" s="6">
        <v>18.95</v>
      </c>
      <c r="C60" s="6">
        <v>6.49</v>
      </c>
      <c r="D60" s="6">
        <v>0.4</v>
      </c>
      <c r="E60" s="6">
        <v>2.06</v>
      </c>
      <c r="F60" s="6">
        <v>1.29</v>
      </c>
      <c r="G60" s="6">
        <v>0</v>
      </c>
      <c r="H60" s="6">
        <v>3.96</v>
      </c>
      <c r="I60" s="6">
        <v>5.94</v>
      </c>
      <c r="J60" s="6">
        <v>3.7999999999999999E-2</v>
      </c>
      <c r="K60" s="6">
        <v>0</v>
      </c>
      <c r="L60" s="6">
        <v>0</v>
      </c>
      <c r="M60" s="10">
        <v>19.170000000000002</v>
      </c>
      <c r="N60" s="10">
        <v>1380.64</v>
      </c>
      <c r="O60" s="4">
        <v>1338.46</v>
      </c>
      <c r="P60" s="10">
        <f t="shared" si="0"/>
        <v>42.180000000000064</v>
      </c>
      <c r="Q60" s="10">
        <v>967.67</v>
      </c>
      <c r="R60" s="10">
        <f t="shared" si="2"/>
        <v>370.79000000000008</v>
      </c>
      <c r="S60" s="10">
        <v>-0.08</v>
      </c>
      <c r="T60" s="10" t="s">
        <v>20</v>
      </c>
      <c r="U60" s="4" t="s">
        <v>21</v>
      </c>
    </row>
    <row r="61" spans="1:21">
      <c r="A61" s="6">
        <f t="shared" si="1"/>
        <v>60.858000000000004</v>
      </c>
      <c r="B61" s="6">
        <v>18.239999999999998</v>
      </c>
      <c r="C61" s="6">
        <v>6.53</v>
      </c>
      <c r="D61" s="6">
        <v>0.92</v>
      </c>
      <c r="E61" s="6">
        <v>2.1</v>
      </c>
      <c r="F61" s="6">
        <v>1.25</v>
      </c>
      <c r="G61" s="6">
        <v>0</v>
      </c>
      <c r="H61" s="6">
        <v>4.09</v>
      </c>
      <c r="I61" s="6">
        <v>5.96</v>
      </c>
      <c r="J61" s="6">
        <v>4.7E-2</v>
      </c>
      <c r="K61" s="6">
        <v>5.0000000000000001E-3</v>
      </c>
      <c r="L61" s="6">
        <v>0</v>
      </c>
      <c r="M61" s="10">
        <v>19.12</v>
      </c>
      <c r="N61" s="10">
        <v>1382.05</v>
      </c>
      <c r="O61" s="4">
        <v>1287.46</v>
      </c>
      <c r="P61" s="10">
        <f t="shared" si="0"/>
        <v>94.589999999999918</v>
      </c>
      <c r="Q61" s="10">
        <v>964.63</v>
      </c>
      <c r="R61" s="10">
        <f t="shared" si="2"/>
        <v>322.83000000000004</v>
      </c>
      <c r="S61" s="10">
        <v>-0.08</v>
      </c>
      <c r="T61" s="10" t="s">
        <v>20</v>
      </c>
      <c r="U61" s="4" t="s">
        <v>21</v>
      </c>
    </row>
    <row r="62" spans="1:21">
      <c r="A62" s="6">
        <f t="shared" si="1"/>
        <v>74.088099999999997</v>
      </c>
      <c r="B62" s="6">
        <v>20.45</v>
      </c>
      <c r="C62" s="6">
        <v>0</v>
      </c>
      <c r="D62" s="6">
        <v>0</v>
      </c>
      <c r="E62" s="6">
        <v>0.98</v>
      </c>
      <c r="F62" s="6">
        <v>2.87</v>
      </c>
      <c r="G62" s="6">
        <v>1.57</v>
      </c>
      <c r="H62" s="6">
        <v>0</v>
      </c>
      <c r="I62" s="6">
        <v>0</v>
      </c>
      <c r="J62" s="6">
        <v>3.5000000000000003E-2</v>
      </c>
      <c r="K62" s="6">
        <v>6.8999999999999999E-3</v>
      </c>
      <c r="L62" s="6">
        <v>0</v>
      </c>
      <c r="M62" s="10">
        <v>17.82</v>
      </c>
      <c r="N62" s="10">
        <v>1364.05</v>
      </c>
      <c r="O62" s="4">
        <v>1269.3499999999999</v>
      </c>
      <c r="P62" s="10">
        <f t="shared" si="0"/>
        <v>94.700000000000045</v>
      </c>
      <c r="Q62" s="10">
        <v>948.15</v>
      </c>
      <c r="R62" s="10">
        <f t="shared" si="2"/>
        <v>321.19999999999993</v>
      </c>
      <c r="S62" s="10">
        <v>0.77700000000000002</v>
      </c>
      <c r="T62" s="10" t="s">
        <v>21</v>
      </c>
      <c r="U62" s="4" t="s">
        <v>21</v>
      </c>
    </row>
    <row r="63" spans="1:21">
      <c r="A63" s="6">
        <f t="shared" si="1"/>
        <v>74.193100000000001</v>
      </c>
      <c r="B63" s="6">
        <v>20.45</v>
      </c>
      <c r="C63" s="6">
        <v>0</v>
      </c>
      <c r="D63" s="6">
        <v>0</v>
      </c>
      <c r="E63" s="6">
        <v>0.97</v>
      </c>
      <c r="F63" s="6">
        <v>2.78</v>
      </c>
      <c r="G63" s="6">
        <v>1.57</v>
      </c>
      <c r="H63" s="6">
        <v>0</v>
      </c>
      <c r="I63" s="6">
        <v>0</v>
      </c>
      <c r="J63" s="6">
        <v>0.03</v>
      </c>
      <c r="K63" s="6">
        <v>6.8999999999999999E-3</v>
      </c>
      <c r="L63" s="6">
        <v>0</v>
      </c>
      <c r="M63" s="10">
        <v>17.61</v>
      </c>
      <c r="N63" s="10">
        <v>1365.57</v>
      </c>
      <c r="O63" s="4">
        <v>1271.8900000000001</v>
      </c>
      <c r="P63" s="10">
        <f t="shared" si="0"/>
        <v>93.679999999999836</v>
      </c>
      <c r="Q63" s="10">
        <v>943</v>
      </c>
      <c r="R63" s="10">
        <f t="shared" si="2"/>
        <v>328.8900000000001</v>
      </c>
      <c r="S63" s="10">
        <v>0.78</v>
      </c>
      <c r="T63" s="10" t="s">
        <v>21</v>
      </c>
      <c r="U63" s="4" t="s">
        <v>21</v>
      </c>
    </row>
    <row r="64" spans="1:21" hidden="1">
      <c r="A64" s="6">
        <f t="shared" si="1"/>
        <v>55.268000000000001</v>
      </c>
      <c r="B64" s="6">
        <v>20</v>
      </c>
      <c r="C64" s="6">
        <v>11</v>
      </c>
      <c r="D64" s="6">
        <v>0</v>
      </c>
      <c r="E64" s="6">
        <v>1.5</v>
      </c>
      <c r="F64" s="6">
        <v>3.2</v>
      </c>
      <c r="G64" s="6">
        <v>0</v>
      </c>
      <c r="H64" s="6">
        <v>9</v>
      </c>
      <c r="I64" s="6">
        <v>0</v>
      </c>
      <c r="J64" s="6">
        <v>3.2000000000000001E-2</v>
      </c>
      <c r="K64" s="6">
        <v>0</v>
      </c>
      <c r="L64" s="6">
        <v>0</v>
      </c>
      <c r="M64" s="10">
        <v>26.98</v>
      </c>
      <c r="N64" s="10">
        <v>1334.11</v>
      </c>
      <c r="O64" s="4">
        <v>1279.33</v>
      </c>
      <c r="P64" s="10">
        <f t="shared" si="0"/>
        <v>54.779999999999973</v>
      </c>
      <c r="Q64" s="10">
        <v>1061.8900000000001</v>
      </c>
      <c r="R64" s="10">
        <f t="shared" si="2"/>
        <v>217.43999999999983</v>
      </c>
      <c r="S64" s="10">
        <v>6.8529999999999994E-2</v>
      </c>
      <c r="T64" s="10" t="s">
        <v>20</v>
      </c>
      <c r="U64" s="10" t="s">
        <v>20</v>
      </c>
    </row>
    <row r="65" spans="1:21" hidden="1">
      <c r="A65" s="6">
        <f t="shared" si="1"/>
        <v>55.253</v>
      </c>
      <c r="B65" s="6">
        <v>20</v>
      </c>
      <c r="C65" s="6">
        <v>11</v>
      </c>
      <c r="D65" s="6">
        <v>0</v>
      </c>
      <c r="E65" s="6">
        <v>1.5</v>
      </c>
      <c r="F65" s="6">
        <v>3.2</v>
      </c>
      <c r="G65" s="6">
        <v>0</v>
      </c>
      <c r="H65" s="6">
        <v>9</v>
      </c>
      <c r="I65" s="6">
        <v>0</v>
      </c>
      <c r="J65" s="6">
        <v>4.7E-2</v>
      </c>
      <c r="K65" s="6">
        <v>0</v>
      </c>
      <c r="L65" s="6">
        <v>0</v>
      </c>
      <c r="M65" s="10">
        <v>26.95</v>
      </c>
      <c r="N65" s="10">
        <v>1333.45</v>
      </c>
      <c r="O65" s="4">
        <v>1280.0899999999999</v>
      </c>
      <c r="P65" s="10">
        <f t="shared" si="0"/>
        <v>53.360000000000127</v>
      </c>
      <c r="Q65" s="10">
        <v>1059.29</v>
      </c>
      <c r="R65" s="10">
        <f t="shared" si="2"/>
        <v>220.79999999999995</v>
      </c>
      <c r="S65" s="10">
        <v>6.719E-2</v>
      </c>
      <c r="T65" s="10" t="s">
        <v>20</v>
      </c>
      <c r="U65" s="10" t="s">
        <v>20</v>
      </c>
    </row>
    <row r="66" spans="1:21" hidden="1">
      <c r="A66" s="6">
        <f t="shared" si="1"/>
        <v>55.231999999999999</v>
      </c>
      <c r="B66" s="6">
        <v>20</v>
      </c>
      <c r="C66" s="6">
        <v>11</v>
      </c>
      <c r="D66" s="6">
        <v>0</v>
      </c>
      <c r="E66" s="6">
        <v>1.5</v>
      </c>
      <c r="F66" s="6">
        <v>3.2</v>
      </c>
      <c r="G66" s="6">
        <v>0</v>
      </c>
      <c r="H66" s="6">
        <v>9</v>
      </c>
      <c r="I66" s="6">
        <v>0</v>
      </c>
      <c r="J66" s="6">
        <v>6.8000000000000005E-2</v>
      </c>
      <c r="K66" s="6">
        <v>0</v>
      </c>
      <c r="L66" s="6">
        <v>0</v>
      </c>
      <c r="M66" s="10">
        <v>26.91</v>
      </c>
      <c r="N66" s="10">
        <v>1332.53</v>
      </c>
      <c r="O66" s="4">
        <v>1281.1199999999999</v>
      </c>
      <c r="P66" s="10">
        <f t="shared" ref="P66:P100" si="3">N66-O66</f>
        <v>51.410000000000082</v>
      </c>
      <c r="Q66" s="10">
        <v>1055.57</v>
      </c>
      <c r="R66" s="10">
        <f t="shared" si="2"/>
        <v>225.54999999999995</v>
      </c>
      <c r="S66" s="10">
        <v>6.5259999999999999E-2</v>
      </c>
      <c r="T66" s="10" t="s">
        <v>20</v>
      </c>
      <c r="U66" s="10" t="s">
        <v>20</v>
      </c>
    </row>
    <row r="67" spans="1:21" hidden="1">
      <c r="A67" s="6">
        <f t="shared" ref="A67:A97" si="4">100-B67-C67-D67-E67-F67-G67-H67-I67-J67-K67-L67</f>
        <v>55.201000000000001</v>
      </c>
      <c r="B67" s="6">
        <v>20</v>
      </c>
      <c r="C67" s="6">
        <v>11</v>
      </c>
      <c r="D67" s="6">
        <v>0</v>
      </c>
      <c r="E67" s="6">
        <v>1.5</v>
      </c>
      <c r="F67" s="6">
        <v>3.2</v>
      </c>
      <c r="G67" s="6">
        <v>0</v>
      </c>
      <c r="H67" s="6">
        <v>9</v>
      </c>
      <c r="I67" s="6">
        <v>0</v>
      </c>
      <c r="J67" s="6">
        <v>9.9000000000000005E-2</v>
      </c>
      <c r="K67" s="6">
        <v>0</v>
      </c>
      <c r="L67" s="6">
        <v>0</v>
      </c>
      <c r="M67" s="10">
        <v>26.85</v>
      </c>
      <c r="N67" s="10">
        <v>1331.18</v>
      </c>
      <c r="O67" s="4">
        <v>1282.57</v>
      </c>
      <c r="P67" s="10">
        <f t="shared" si="3"/>
        <v>48.610000000000127</v>
      </c>
      <c r="Q67" s="10">
        <v>1049.912</v>
      </c>
      <c r="R67" s="10">
        <f t="shared" ref="R67:R130" si="5">ABS(O67-Q67)</f>
        <v>232.6579999999999</v>
      </c>
      <c r="S67" s="10">
        <v>6.2289999999999998E-2</v>
      </c>
      <c r="T67" s="10" t="s">
        <v>20</v>
      </c>
      <c r="U67" s="10" t="s">
        <v>20</v>
      </c>
    </row>
    <row r="68" spans="1:21" hidden="1">
      <c r="A68" s="6">
        <f t="shared" si="4"/>
        <v>55.19</v>
      </c>
      <c r="B68" s="6">
        <v>20</v>
      </c>
      <c r="C68" s="6">
        <v>11</v>
      </c>
      <c r="D68" s="6">
        <v>0</v>
      </c>
      <c r="E68" s="6">
        <v>1.5</v>
      </c>
      <c r="F68" s="6">
        <v>3.2</v>
      </c>
      <c r="G68" s="6">
        <v>0</v>
      </c>
      <c r="H68" s="6">
        <v>9</v>
      </c>
      <c r="I68" s="6">
        <v>0</v>
      </c>
      <c r="J68" s="6">
        <v>0.11</v>
      </c>
      <c r="K68" s="6">
        <v>0</v>
      </c>
      <c r="L68" s="6">
        <v>0</v>
      </c>
      <c r="M68" s="10">
        <v>26.83</v>
      </c>
      <c r="N68" s="10">
        <v>1330.7</v>
      </c>
      <c r="O68" s="4">
        <v>1283.06</v>
      </c>
      <c r="P68" s="10">
        <f t="shared" si="3"/>
        <v>47.6400000000001</v>
      </c>
      <c r="Q68" s="10">
        <v>1047.8499999999999</v>
      </c>
      <c r="R68" s="10">
        <f t="shared" si="5"/>
        <v>235.21000000000004</v>
      </c>
      <c r="S68" s="10">
        <v>6.1199999999999997E-2</v>
      </c>
      <c r="T68" s="10" t="s">
        <v>20</v>
      </c>
      <c r="U68" s="10" t="s">
        <v>20</v>
      </c>
    </row>
    <row r="69" spans="1:21" hidden="1">
      <c r="A69" s="6">
        <f t="shared" si="4"/>
        <v>55.4315</v>
      </c>
      <c r="B69" s="6">
        <v>18.93</v>
      </c>
      <c r="C69" s="6">
        <v>11</v>
      </c>
      <c r="D69" s="6">
        <v>0</v>
      </c>
      <c r="E69" s="6">
        <v>1.57</v>
      </c>
      <c r="F69" s="6">
        <v>3.13</v>
      </c>
      <c r="G69" s="6">
        <v>0</v>
      </c>
      <c r="H69" s="6">
        <v>9.83</v>
      </c>
      <c r="I69" s="6">
        <v>0</v>
      </c>
      <c r="J69" s="6">
        <v>7.4999999999999997E-2</v>
      </c>
      <c r="K69" s="6">
        <v>3.5000000000000001E-3</v>
      </c>
      <c r="L69" s="6">
        <v>0.03</v>
      </c>
      <c r="M69" s="10">
        <v>28.97</v>
      </c>
      <c r="N69" s="10">
        <v>1368.24</v>
      </c>
      <c r="O69" s="4">
        <v>1244.0899999999999</v>
      </c>
      <c r="P69" s="10">
        <f t="shared" si="3"/>
        <v>124.15000000000009</v>
      </c>
      <c r="Q69" s="10">
        <v>1044.78</v>
      </c>
      <c r="R69" s="10">
        <f t="shared" si="5"/>
        <v>199.30999999999995</v>
      </c>
      <c r="S69" s="10">
        <v>0.13700000000000001</v>
      </c>
      <c r="T69" s="10" t="s">
        <v>21</v>
      </c>
      <c r="U69" s="10" t="s">
        <v>20</v>
      </c>
    </row>
    <row r="70" spans="1:21" hidden="1">
      <c r="A70" s="6">
        <f t="shared" si="4"/>
        <v>61.36999999999999</v>
      </c>
      <c r="B70" s="6">
        <v>16</v>
      </c>
      <c r="C70" s="6">
        <v>12.7</v>
      </c>
      <c r="D70" s="6">
        <v>0</v>
      </c>
      <c r="E70" s="6">
        <v>2.2000000000000002</v>
      </c>
      <c r="F70" s="6">
        <v>3.7</v>
      </c>
      <c r="G70" s="6">
        <v>0</v>
      </c>
      <c r="H70" s="6">
        <v>0</v>
      </c>
      <c r="I70" s="6">
        <v>4</v>
      </c>
      <c r="J70" s="6">
        <v>0.03</v>
      </c>
      <c r="K70" s="6">
        <v>0</v>
      </c>
      <c r="L70" s="6">
        <v>0</v>
      </c>
      <c r="M70" s="10">
        <v>35.5</v>
      </c>
      <c r="N70" s="10">
        <v>1378.75</v>
      </c>
      <c r="O70" s="4">
        <v>1344.05</v>
      </c>
      <c r="P70" s="10">
        <f t="shared" si="3"/>
        <v>34.700000000000045</v>
      </c>
      <c r="Q70" s="10">
        <v>1087.48</v>
      </c>
      <c r="R70" s="10">
        <f t="shared" si="5"/>
        <v>256.56999999999994</v>
      </c>
      <c r="S70" s="10">
        <v>0.35199999999999998</v>
      </c>
      <c r="T70" s="10" t="s">
        <v>20</v>
      </c>
      <c r="U70" s="10" t="s">
        <v>20</v>
      </c>
    </row>
    <row r="71" spans="1:21" hidden="1">
      <c r="A71" s="6">
        <f t="shared" si="4"/>
        <v>56.224999999999987</v>
      </c>
      <c r="B71" s="6">
        <v>16.21</v>
      </c>
      <c r="C71" s="6">
        <v>12.95</v>
      </c>
      <c r="D71" s="6">
        <v>0</v>
      </c>
      <c r="E71" s="6">
        <v>2.23</v>
      </c>
      <c r="F71" s="6">
        <v>3.69</v>
      </c>
      <c r="G71" s="6">
        <v>0.7</v>
      </c>
      <c r="H71" s="6">
        <v>4</v>
      </c>
      <c r="I71" s="6">
        <v>3.93</v>
      </c>
      <c r="J71" s="6">
        <v>0.04</v>
      </c>
      <c r="K71" s="6">
        <v>0</v>
      </c>
      <c r="L71" s="6">
        <v>2.5000000000000001E-2</v>
      </c>
      <c r="M71" s="10">
        <v>38.79</v>
      </c>
      <c r="N71" s="10">
        <v>1349</v>
      </c>
      <c r="O71" s="4">
        <v>1293.75</v>
      </c>
      <c r="P71" s="10">
        <f t="shared" si="3"/>
        <v>55.25</v>
      </c>
      <c r="Q71" s="10">
        <v>1111.99</v>
      </c>
      <c r="R71" s="10">
        <f t="shared" si="5"/>
        <v>181.76</v>
      </c>
      <c r="S71" s="10">
        <v>0.13600000000000001</v>
      </c>
      <c r="T71" s="10" t="s">
        <v>21</v>
      </c>
      <c r="U71" s="10" t="s">
        <v>20</v>
      </c>
    </row>
    <row r="72" spans="1:21" hidden="1">
      <c r="A72" s="6">
        <f t="shared" si="4"/>
        <v>56.209999999999987</v>
      </c>
      <c r="B72" s="6">
        <v>16.21</v>
      </c>
      <c r="C72" s="6">
        <v>12.95</v>
      </c>
      <c r="D72" s="6">
        <v>0</v>
      </c>
      <c r="E72" s="6">
        <v>2.23</v>
      </c>
      <c r="F72" s="6">
        <v>3.69</v>
      </c>
      <c r="G72" s="6">
        <v>0.7</v>
      </c>
      <c r="H72" s="6">
        <v>4</v>
      </c>
      <c r="I72" s="6">
        <v>3.93</v>
      </c>
      <c r="J72" s="6">
        <v>0.04</v>
      </c>
      <c r="K72" s="6">
        <v>0</v>
      </c>
      <c r="L72" s="6">
        <v>0.04</v>
      </c>
      <c r="M72" s="10">
        <v>38.83</v>
      </c>
      <c r="N72" s="10">
        <v>1348.78</v>
      </c>
      <c r="O72" s="4">
        <v>1289.05</v>
      </c>
      <c r="P72" s="10">
        <f t="shared" si="3"/>
        <v>59.730000000000018</v>
      </c>
      <c r="Q72" s="10">
        <v>1112.02</v>
      </c>
      <c r="R72" s="10">
        <f t="shared" si="5"/>
        <v>177.02999999999997</v>
      </c>
      <c r="S72" s="10">
        <v>0.14099999999999999</v>
      </c>
      <c r="T72" s="10" t="s">
        <v>21</v>
      </c>
      <c r="U72" s="10" t="s">
        <v>20</v>
      </c>
    </row>
    <row r="73" spans="1:21" hidden="1">
      <c r="A73" s="6">
        <f t="shared" si="4"/>
        <v>56.189999999999984</v>
      </c>
      <c r="B73" s="6">
        <v>16.21</v>
      </c>
      <c r="C73" s="6">
        <v>12.95</v>
      </c>
      <c r="D73" s="6">
        <v>0</v>
      </c>
      <c r="E73" s="6">
        <v>2.23</v>
      </c>
      <c r="F73" s="6">
        <v>3.69</v>
      </c>
      <c r="G73" s="6">
        <v>0.7</v>
      </c>
      <c r="H73" s="6">
        <v>4</v>
      </c>
      <c r="I73" s="6">
        <v>3.93</v>
      </c>
      <c r="J73" s="6">
        <v>0.04</v>
      </c>
      <c r="K73" s="6">
        <v>0</v>
      </c>
      <c r="L73" s="6">
        <v>0.06</v>
      </c>
      <c r="M73" s="10">
        <v>38.89</v>
      </c>
      <c r="N73" s="10">
        <v>1348.5</v>
      </c>
      <c r="O73" s="4">
        <v>1282.5899999999999</v>
      </c>
      <c r="P73" s="10">
        <f t="shared" si="3"/>
        <v>65.910000000000082</v>
      </c>
      <c r="Q73" s="10">
        <v>1112.07</v>
      </c>
      <c r="R73" s="10">
        <f t="shared" si="5"/>
        <v>170.51999999999998</v>
      </c>
      <c r="S73" s="10">
        <v>0.14699999999999999</v>
      </c>
      <c r="T73" s="10" t="s">
        <v>21</v>
      </c>
      <c r="U73" s="10" t="s">
        <v>20</v>
      </c>
    </row>
    <row r="74" spans="1:21" hidden="1">
      <c r="A74" s="6">
        <f t="shared" si="4"/>
        <v>62.100000000000016</v>
      </c>
      <c r="B74" s="6">
        <v>12.69</v>
      </c>
      <c r="C74" s="6">
        <v>8.5500000000000007</v>
      </c>
      <c r="D74" s="6">
        <v>0</v>
      </c>
      <c r="E74" s="6">
        <v>3.46</v>
      </c>
      <c r="F74" s="6">
        <v>2.69</v>
      </c>
      <c r="G74" s="6">
        <v>3.45</v>
      </c>
      <c r="H74" s="6">
        <v>3.58</v>
      </c>
      <c r="I74" s="6">
        <v>3.36</v>
      </c>
      <c r="J74" s="6">
        <v>0.06</v>
      </c>
      <c r="K74" s="6">
        <v>0.01</v>
      </c>
      <c r="L74" s="6">
        <v>0.05</v>
      </c>
      <c r="M74" s="10">
        <v>52.55</v>
      </c>
      <c r="N74" s="10">
        <v>1339.21</v>
      </c>
      <c r="O74" s="4">
        <v>1256.3599999999999</v>
      </c>
      <c r="P74" s="10">
        <f t="shared" si="3"/>
        <v>82.850000000000136</v>
      </c>
      <c r="Q74" s="10">
        <v>1151.5999999999999</v>
      </c>
      <c r="R74" s="10">
        <f t="shared" si="5"/>
        <v>104.75999999999999</v>
      </c>
      <c r="S74" s="10">
        <v>0.218</v>
      </c>
      <c r="T74" s="10" t="s">
        <v>21</v>
      </c>
      <c r="U74" s="10" t="s">
        <v>21</v>
      </c>
    </row>
    <row r="75" spans="1:21" hidden="1">
      <c r="A75" s="6">
        <f t="shared" si="4"/>
        <v>61.250999999999983</v>
      </c>
      <c r="B75" s="6">
        <v>13.5</v>
      </c>
      <c r="C75" s="6">
        <v>8.01</v>
      </c>
      <c r="D75" s="6">
        <v>0</v>
      </c>
      <c r="E75" s="6">
        <v>3.7</v>
      </c>
      <c r="F75" s="6">
        <v>2.59</v>
      </c>
      <c r="G75" s="6">
        <v>3.54</v>
      </c>
      <c r="H75" s="6">
        <v>3.61</v>
      </c>
      <c r="I75" s="6">
        <v>3.74</v>
      </c>
      <c r="J75" s="6">
        <v>5.8999999999999997E-2</v>
      </c>
      <c r="K75" s="6">
        <v>0</v>
      </c>
      <c r="L75" s="6">
        <v>0</v>
      </c>
      <c r="M75" s="10">
        <v>54.79</v>
      </c>
      <c r="N75" s="10">
        <v>1334.62</v>
      </c>
      <c r="O75" s="4">
        <v>1280.78</v>
      </c>
      <c r="P75" s="10">
        <f t="shared" si="3"/>
        <v>53.839999999999918</v>
      </c>
      <c r="Q75" s="10">
        <v>1155.17</v>
      </c>
      <c r="R75" s="10">
        <f t="shared" si="5"/>
        <v>125.6099999999999</v>
      </c>
      <c r="S75" s="10">
        <v>0.185</v>
      </c>
      <c r="T75" s="10" t="s">
        <v>21</v>
      </c>
      <c r="U75" s="10" t="s">
        <v>21</v>
      </c>
    </row>
    <row r="76" spans="1:21" hidden="1">
      <c r="A76" s="6">
        <f t="shared" si="4"/>
        <v>64.89</v>
      </c>
      <c r="B76" s="6">
        <v>18.5</v>
      </c>
      <c r="C76" s="6">
        <v>0</v>
      </c>
      <c r="D76" s="6">
        <v>3.82</v>
      </c>
      <c r="E76" s="6">
        <v>1.36</v>
      </c>
      <c r="F76" s="6">
        <v>2.4500000000000002</v>
      </c>
      <c r="G76" s="6">
        <v>0</v>
      </c>
      <c r="H76" s="6">
        <v>4.5199999999999996</v>
      </c>
      <c r="I76" s="6">
        <v>4.37</v>
      </c>
      <c r="J76" s="6">
        <v>0.08</v>
      </c>
      <c r="K76" s="6">
        <v>0.01</v>
      </c>
      <c r="L76" s="6">
        <v>0</v>
      </c>
      <c r="M76" s="10">
        <v>20.149999999999999</v>
      </c>
      <c r="N76" s="10">
        <v>1372.94</v>
      </c>
      <c r="O76" s="4">
        <v>1282.99</v>
      </c>
      <c r="P76" s="10">
        <f t="shared" si="3"/>
        <v>89.950000000000045</v>
      </c>
      <c r="Q76" s="10">
        <v>973.52</v>
      </c>
      <c r="R76" s="10">
        <f t="shared" si="5"/>
        <v>309.47000000000003</v>
      </c>
      <c r="S76" s="10">
        <v>9.8379999999999995E-2</v>
      </c>
      <c r="T76" s="10" t="s">
        <v>21</v>
      </c>
      <c r="U76" s="10" t="s">
        <v>20</v>
      </c>
    </row>
    <row r="77" spans="1:21">
      <c r="A77" s="6">
        <f t="shared" si="4"/>
        <v>69.150000000000006</v>
      </c>
      <c r="B77" s="6">
        <v>18</v>
      </c>
      <c r="C77" s="6">
        <v>0</v>
      </c>
      <c r="D77" s="6">
        <v>0</v>
      </c>
      <c r="E77" s="6">
        <v>1.3</v>
      </c>
      <c r="F77" s="6">
        <v>2.5</v>
      </c>
      <c r="G77" s="6">
        <v>0</v>
      </c>
      <c r="H77" s="6">
        <v>4.5</v>
      </c>
      <c r="I77" s="6">
        <v>4.5</v>
      </c>
      <c r="J77" s="6">
        <v>0.05</v>
      </c>
      <c r="K77" s="6">
        <v>0</v>
      </c>
      <c r="L77" s="6">
        <v>0</v>
      </c>
      <c r="M77" s="10">
        <v>19.829999999999998</v>
      </c>
      <c r="N77" s="10">
        <v>1375.47</v>
      </c>
      <c r="O77" s="4">
        <v>1330.44</v>
      </c>
      <c r="P77" s="10">
        <f t="shared" si="3"/>
        <v>45.029999999999973</v>
      </c>
      <c r="Q77" s="10">
        <v>961.32</v>
      </c>
      <c r="R77" s="10">
        <f t="shared" si="5"/>
        <v>369.12</v>
      </c>
      <c r="S77" s="10">
        <v>7.0220000000000005E-2</v>
      </c>
      <c r="T77" s="10" t="s">
        <v>21</v>
      </c>
      <c r="U77" s="4" t="s">
        <v>21</v>
      </c>
    </row>
    <row r="78" spans="1:21" hidden="1">
      <c r="A78" s="6">
        <f t="shared" si="4"/>
        <v>54.14</v>
      </c>
      <c r="B78" s="6">
        <v>19</v>
      </c>
      <c r="C78" s="6">
        <v>11</v>
      </c>
      <c r="D78" s="6">
        <v>0</v>
      </c>
      <c r="E78" s="6">
        <v>1.6</v>
      </c>
      <c r="F78" s="6">
        <v>3.2</v>
      </c>
      <c r="G78" s="6">
        <v>0</v>
      </c>
      <c r="H78" s="6">
        <v>8</v>
      </c>
      <c r="I78" s="6">
        <v>3</v>
      </c>
      <c r="J78" s="6">
        <v>0.06</v>
      </c>
      <c r="K78" s="6">
        <v>0</v>
      </c>
      <c r="L78" s="6">
        <v>0</v>
      </c>
      <c r="M78" s="10">
        <v>28.75</v>
      </c>
      <c r="N78" s="10">
        <v>1336.93</v>
      </c>
      <c r="O78" s="4">
        <v>1287.75</v>
      </c>
      <c r="P78" s="10">
        <f t="shared" si="3"/>
        <v>49.180000000000064</v>
      </c>
      <c r="Q78" s="10">
        <v>1062.1300000000001</v>
      </c>
      <c r="R78" s="10">
        <f t="shared" si="5"/>
        <v>225.61999999999989</v>
      </c>
      <c r="S78" s="10">
        <v>5.7570000000000003E-2</v>
      </c>
      <c r="T78" s="10" t="s">
        <v>21</v>
      </c>
      <c r="U78" s="10" t="s">
        <v>20</v>
      </c>
    </row>
    <row r="79" spans="1:21" hidden="1">
      <c r="A79" s="6">
        <f t="shared" si="4"/>
        <v>55.354400000000005</v>
      </c>
      <c r="B79" s="6">
        <v>18.37</v>
      </c>
      <c r="C79" s="6">
        <v>10.74</v>
      </c>
      <c r="D79" s="6">
        <v>0</v>
      </c>
      <c r="E79" s="6">
        <v>1.54</v>
      </c>
      <c r="F79" s="6">
        <v>3.41</v>
      </c>
      <c r="G79" s="6">
        <v>0</v>
      </c>
      <c r="H79" s="6">
        <v>7.52</v>
      </c>
      <c r="I79" s="6">
        <v>3</v>
      </c>
      <c r="J79" s="6">
        <v>6.2E-2</v>
      </c>
      <c r="K79" s="6">
        <v>3.5999999999999999E-3</v>
      </c>
      <c r="L79" s="6">
        <v>0</v>
      </c>
      <c r="M79" s="10">
        <v>29.24</v>
      </c>
      <c r="N79" s="10">
        <v>1338.99</v>
      </c>
      <c r="O79" s="4">
        <v>1255.23</v>
      </c>
      <c r="P79" s="10">
        <f t="shared" si="3"/>
        <v>83.759999999999991</v>
      </c>
      <c r="Q79" s="10">
        <v>1063.31</v>
      </c>
      <c r="R79" s="10">
        <f t="shared" si="5"/>
        <v>191.92000000000007</v>
      </c>
      <c r="S79" s="10">
        <v>7.9009999999999997E-2</v>
      </c>
      <c r="T79" s="10" t="s">
        <v>21</v>
      </c>
      <c r="U79" s="10" t="s">
        <v>20</v>
      </c>
    </row>
    <row r="80" spans="1:21" hidden="1">
      <c r="A80" s="6">
        <f t="shared" si="4"/>
        <v>51.079999999999991</v>
      </c>
      <c r="B80" s="6">
        <v>19.46</v>
      </c>
      <c r="C80" s="6">
        <v>12.41</v>
      </c>
      <c r="D80" s="6">
        <v>0.16</v>
      </c>
      <c r="E80" s="6">
        <v>1.79</v>
      </c>
      <c r="F80" s="6">
        <v>3.47</v>
      </c>
      <c r="G80" s="6">
        <v>0</v>
      </c>
      <c r="H80" s="6">
        <v>7.98</v>
      </c>
      <c r="I80" s="6">
        <v>3.58</v>
      </c>
      <c r="J80" s="6">
        <v>0.06</v>
      </c>
      <c r="K80" s="6">
        <v>0.01</v>
      </c>
      <c r="L80" s="6">
        <v>0</v>
      </c>
      <c r="M80" s="10">
        <v>32.659999999999997</v>
      </c>
      <c r="N80" s="10">
        <v>1327.11</v>
      </c>
      <c r="O80" s="4">
        <v>1246.32</v>
      </c>
      <c r="P80" s="10">
        <f t="shared" si="3"/>
        <v>80.789999999999964</v>
      </c>
      <c r="Q80" s="10">
        <v>1087.08</v>
      </c>
      <c r="R80" s="10">
        <f t="shared" si="5"/>
        <v>159.24</v>
      </c>
      <c r="S80" s="10">
        <v>6.0479999999999999E-2</v>
      </c>
      <c r="T80" s="10" t="s">
        <v>21</v>
      </c>
      <c r="U80" s="10" t="s">
        <v>20</v>
      </c>
    </row>
    <row r="81" spans="1:21" hidden="1">
      <c r="A81" s="6">
        <f t="shared" si="4"/>
        <v>63.580000000000005</v>
      </c>
      <c r="B81" s="6">
        <v>13.97</v>
      </c>
      <c r="C81" s="6">
        <v>10</v>
      </c>
      <c r="D81" s="6">
        <v>0</v>
      </c>
      <c r="E81" s="6">
        <v>2.57</v>
      </c>
      <c r="F81" s="6">
        <v>2.4500000000000002</v>
      </c>
      <c r="G81" s="6">
        <v>2.5</v>
      </c>
      <c r="H81" s="6">
        <v>4.88</v>
      </c>
      <c r="I81" s="6">
        <v>0</v>
      </c>
      <c r="J81" s="6">
        <v>0.05</v>
      </c>
      <c r="K81" s="6">
        <v>0</v>
      </c>
      <c r="L81" s="6">
        <v>0</v>
      </c>
      <c r="M81" s="10">
        <v>37.33</v>
      </c>
      <c r="N81" s="10">
        <v>1353.27</v>
      </c>
      <c r="O81" s="4">
        <v>1297.97</v>
      </c>
      <c r="P81" s="10">
        <f t="shared" si="3"/>
        <v>55.299999999999955</v>
      </c>
      <c r="Q81" s="10">
        <v>1084.1099999999999</v>
      </c>
      <c r="R81" s="10">
        <f t="shared" si="5"/>
        <v>213.86000000000013</v>
      </c>
      <c r="S81" s="10">
        <v>0.32800000000000001</v>
      </c>
      <c r="T81" s="10" t="s">
        <v>20</v>
      </c>
      <c r="U81" s="10" t="s">
        <v>20</v>
      </c>
    </row>
    <row r="82" spans="1:21" hidden="1">
      <c r="A82" s="6">
        <f t="shared" si="4"/>
        <v>63.173000000000002</v>
      </c>
      <c r="B82" s="6">
        <v>14.7</v>
      </c>
      <c r="C82" s="6">
        <v>9.5</v>
      </c>
      <c r="D82" s="6">
        <v>0</v>
      </c>
      <c r="E82" s="6">
        <v>2.5099999999999998</v>
      </c>
      <c r="F82" s="6">
        <v>2.4700000000000002</v>
      </c>
      <c r="G82" s="6">
        <v>2.6</v>
      </c>
      <c r="H82" s="6">
        <v>5</v>
      </c>
      <c r="I82" s="6">
        <v>0</v>
      </c>
      <c r="J82" s="6">
        <v>4.7E-2</v>
      </c>
      <c r="K82" s="6">
        <v>0</v>
      </c>
      <c r="L82" s="6">
        <v>0</v>
      </c>
      <c r="M82" s="10">
        <v>37.380000000000003</v>
      </c>
      <c r="N82" s="10">
        <v>1349.46</v>
      </c>
      <c r="O82" s="4">
        <v>1292.0899999999999</v>
      </c>
      <c r="P82" s="10">
        <f t="shared" si="3"/>
        <v>57.370000000000118</v>
      </c>
      <c r="Q82" s="10">
        <v>1085.4000000000001</v>
      </c>
      <c r="R82" s="10">
        <f t="shared" si="5"/>
        <v>206.68999999999983</v>
      </c>
      <c r="S82" s="10">
        <v>0.30199999999999999</v>
      </c>
      <c r="T82" s="10" t="s">
        <v>20</v>
      </c>
      <c r="U82" s="10" t="s">
        <v>20</v>
      </c>
    </row>
    <row r="83" spans="1:21" hidden="1">
      <c r="A83" s="6">
        <f t="shared" si="4"/>
        <v>63.21</v>
      </c>
      <c r="B83" s="6">
        <v>14</v>
      </c>
      <c r="C83" s="6">
        <v>9.9499999999999993</v>
      </c>
      <c r="D83" s="6">
        <v>0</v>
      </c>
      <c r="E83" s="6">
        <v>2.54</v>
      </c>
      <c r="F83" s="6">
        <v>2.52</v>
      </c>
      <c r="G83" s="6">
        <v>2.6</v>
      </c>
      <c r="H83" s="6">
        <v>5.12</v>
      </c>
      <c r="I83" s="6">
        <v>0</v>
      </c>
      <c r="J83" s="6">
        <v>0.06</v>
      </c>
      <c r="K83" s="6">
        <v>0</v>
      </c>
      <c r="L83" s="6">
        <v>0</v>
      </c>
      <c r="M83" s="10">
        <v>37.869999999999997</v>
      </c>
      <c r="N83" s="10">
        <v>1349.71</v>
      </c>
      <c r="O83" s="4">
        <v>1294.76</v>
      </c>
      <c r="P83" s="10">
        <f t="shared" si="3"/>
        <v>54.950000000000045</v>
      </c>
      <c r="Q83" s="10">
        <v>1086.1400000000001</v>
      </c>
      <c r="R83" s="10">
        <f t="shared" si="5"/>
        <v>208.61999999999989</v>
      </c>
      <c r="S83" s="10">
        <v>0.313</v>
      </c>
      <c r="T83" s="10" t="s">
        <v>20</v>
      </c>
      <c r="U83" s="10" t="s">
        <v>20</v>
      </c>
    </row>
    <row r="84" spans="1:21" hidden="1">
      <c r="A84" s="6">
        <f t="shared" si="4"/>
        <v>55.47</v>
      </c>
      <c r="B84" s="6">
        <v>16</v>
      </c>
      <c r="C84" s="6">
        <v>13</v>
      </c>
      <c r="D84" s="6">
        <v>1</v>
      </c>
      <c r="E84" s="6">
        <v>2.1</v>
      </c>
      <c r="F84" s="6">
        <v>3.7</v>
      </c>
      <c r="G84" s="6">
        <v>0.7</v>
      </c>
      <c r="H84" s="6">
        <v>4</v>
      </c>
      <c r="I84" s="6">
        <v>4</v>
      </c>
      <c r="J84" s="6">
        <v>0.03</v>
      </c>
      <c r="K84" s="6">
        <v>0</v>
      </c>
      <c r="L84" s="6">
        <v>0</v>
      </c>
      <c r="M84" s="10">
        <v>37.44</v>
      </c>
      <c r="N84" s="10">
        <v>1350.19</v>
      </c>
      <c r="O84" s="4">
        <v>1299.52</v>
      </c>
      <c r="P84" s="10">
        <f t="shared" si="3"/>
        <v>50.670000000000073</v>
      </c>
      <c r="Q84" s="10">
        <v>1106.99</v>
      </c>
      <c r="R84" s="10">
        <f t="shared" si="5"/>
        <v>192.52999999999997</v>
      </c>
      <c r="S84" s="10">
        <v>0.151</v>
      </c>
      <c r="T84" s="10" t="s">
        <v>21</v>
      </c>
      <c r="U84" s="10" t="s">
        <v>20</v>
      </c>
    </row>
    <row r="85" spans="1:21">
      <c r="A85" s="6">
        <f t="shared" si="4"/>
        <v>56.140000000000008</v>
      </c>
      <c r="B85" s="7">
        <v>33.81</v>
      </c>
      <c r="C85" s="7">
        <v>0</v>
      </c>
      <c r="D85" s="7">
        <v>0</v>
      </c>
      <c r="E85" s="7">
        <v>0.82</v>
      </c>
      <c r="F85" s="7">
        <v>0.82</v>
      </c>
      <c r="G85" s="7">
        <v>0.84</v>
      </c>
      <c r="H85" s="7">
        <v>2.64</v>
      </c>
      <c r="I85" s="7">
        <v>4.8899999999999997</v>
      </c>
      <c r="J85" s="7">
        <v>0.04</v>
      </c>
      <c r="K85" s="7">
        <v>0</v>
      </c>
      <c r="L85" s="7">
        <v>0</v>
      </c>
      <c r="M85" s="10">
        <v>8.27</v>
      </c>
      <c r="N85" s="10">
        <v>1346.77</v>
      </c>
      <c r="O85" s="4">
        <v>1273.1099999999999</v>
      </c>
      <c r="P85" s="10">
        <f t="shared" si="3"/>
        <v>73.660000000000082</v>
      </c>
      <c r="Q85" s="10">
        <v>906.69</v>
      </c>
      <c r="R85" s="10">
        <f t="shared" si="5"/>
        <v>366.41999999999985</v>
      </c>
      <c r="S85" s="10">
        <v>0.30299999999999999</v>
      </c>
      <c r="T85" s="10" t="s">
        <v>21</v>
      </c>
      <c r="U85" s="4" t="s">
        <v>21</v>
      </c>
    </row>
    <row r="86" spans="1:21">
      <c r="A86" s="6">
        <f t="shared" si="4"/>
        <v>57.070000000000007</v>
      </c>
      <c r="B86" s="7">
        <v>33.08</v>
      </c>
      <c r="C86" s="7">
        <v>0</v>
      </c>
      <c r="D86" s="7">
        <v>0</v>
      </c>
      <c r="E86" s="7">
        <v>0.81</v>
      </c>
      <c r="F86" s="7">
        <v>0.77</v>
      </c>
      <c r="G86" s="7">
        <v>0.8</v>
      </c>
      <c r="H86" s="7">
        <v>2.74</v>
      </c>
      <c r="I86" s="7">
        <v>4.72</v>
      </c>
      <c r="J86" s="7">
        <v>0.01</v>
      </c>
      <c r="K86" s="7">
        <v>0</v>
      </c>
      <c r="L86" s="7">
        <v>0</v>
      </c>
      <c r="M86" s="10">
        <v>7.61</v>
      </c>
      <c r="N86" s="10">
        <v>1351.89</v>
      </c>
      <c r="O86" s="4">
        <v>1294.53</v>
      </c>
      <c r="P86" s="10">
        <f t="shared" si="3"/>
        <v>57.360000000000127</v>
      </c>
      <c r="Q86" s="10">
        <v>896.82</v>
      </c>
      <c r="R86" s="10">
        <f t="shared" si="5"/>
        <v>397.70999999999992</v>
      </c>
      <c r="S86" s="10">
        <v>0.29799999999999999</v>
      </c>
      <c r="T86" s="10" t="s">
        <v>21</v>
      </c>
      <c r="U86" s="4" t="s">
        <v>21</v>
      </c>
    </row>
    <row r="87" spans="1:21">
      <c r="A87" s="6">
        <f t="shared" si="4"/>
        <v>57.034000000000006</v>
      </c>
      <c r="B87" s="7">
        <v>33.08</v>
      </c>
      <c r="C87" s="7">
        <v>0</v>
      </c>
      <c r="D87" s="7">
        <v>0</v>
      </c>
      <c r="E87" s="7">
        <v>0.81</v>
      </c>
      <c r="F87" s="7">
        <v>0.77</v>
      </c>
      <c r="G87" s="7">
        <v>0.8</v>
      </c>
      <c r="H87" s="7">
        <v>2.74</v>
      </c>
      <c r="I87" s="7">
        <v>4.72</v>
      </c>
      <c r="J87" s="7">
        <v>4.5999999999999999E-2</v>
      </c>
      <c r="K87" s="7">
        <v>0</v>
      </c>
      <c r="L87" s="7">
        <v>0</v>
      </c>
      <c r="M87" s="14">
        <v>7.6</v>
      </c>
      <c r="N87" s="10">
        <v>1350.32</v>
      </c>
      <c r="O87" s="4">
        <v>1278.4000000000001</v>
      </c>
      <c r="P87" s="10">
        <f t="shared" si="3"/>
        <v>71.919999999999845</v>
      </c>
      <c r="Q87" s="10">
        <v>896.92</v>
      </c>
      <c r="R87" s="10">
        <f t="shared" si="5"/>
        <v>381.48000000000013</v>
      </c>
      <c r="S87" s="10">
        <v>0.29799999999999999</v>
      </c>
      <c r="T87" s="10" t="s">
        <v>21</v>
      </c>
      <c r="U87" s="4" t="s">
        <v>21</v>
      </c>
    </row>
    <row r="88" spans="1:21">
      <c r="A88" s="6">
        <f t="shared" si="4"/>
        <v>57.004000000000005</v>
      </c>
      <c r="B88" s="7">
        <v>33.08</v>
      </c>
      <c r="C88" s="7">
        <v>0</v>
      </c>
      <c r="D88" s="7">
        <v>0</v>
      </c>
      <c r="E88" s="7">
        <v>0.81</v>
      </c>
      <c r="F88" s="7">
        <v>0.77</v>
      </c>
      <c r="G88" s="7">
        <v>0.8</v>
      </c>
      <c r="H88" s="7">
        <v>2.74</v>
      </c>
      <c r="I88" s="7">
        <v>4.72</v>
      </c>
      <c r="J88" s="7">
        <v>7.5999999999999998E-2</v>
      </c>
      <c r="K88" s="7">
        <v>0</v>
      </c>
      <c r="L88" s="7">
        <v>0</v>
      </c>
      <c r="M88" s="10">
        <v>7.58</v>
      </c>
      <c r="N88" s="10">
        <v>1349.02</v>
      </c>
      <c r="O88" s="4">
        <v>1279.28</v>
      </c>
      <c r="P88" s="10">
        <f t="shared" si="3"/>
        <v>69.740000000000009</v>
      </c>
      <c r="Q88" s="10">
        <v>897</v>
      </c>
      <c r="R88" s="10">
        <f t="shared" si="5"/>
        <v>382.28</v>
      </c>
      <c r="S88" s="10">
        <v>0.29799999999999999</v>
      </c>
      <c r="T88" s="10" t="s">
        <v>21</v>
      </c>
      <c r="U88" s="4" t="s">
        <v>21</v>
      </c>
    </row>
    <row r="89" spans="1:21" hidden="1">
      <c r="A89" s="6">
        <f t="shared" si="4"/>
        <v>75.719999999999985</v>
      </c>
      <c r="B89" s="7">
        <v>14.4</v>
      </c>
      <c r="C89" s="7">
        <v>0</v>
      </c>
      <c r="D89" s="7">
        <v>0.5</v>
      </c>
      <c r="E89" s="7">
        <v>1.6</v>
      </c>
      <c r="F89" s="7">
        <v>2.65</v>
      </c>
      <c r="G89" s="7">
        <v>2.0499999999999998</v>
      </c>
      <c r="H89" s="7">
        <v>3.04</v>
      </c>
      <c r="I89" s="7">
        <v>0</v>
      </c>
      <c r="J89" s="7">
        <v>0.04</v>
      </c>
      <c r="K89" s="7">
        <v>0</v>
      </c>
      <c r="L89" s="7">
        <v>0</v>
      </c>
      <c r="M89" s="10">
        <v>24.89</v>
      </c>
      <c r="N89" s="10">
        <v>1366.24</v>
      </c>
      <c r="O89" s="4">
        <v>1312.04</v>
      </c>
      <c r="P89" s="10">
        <f t="shared" si="3"/>
        <v>54.200000000000045</v>
      </c>
      <c r="Q89" s="10">
        <v>981.49</v>
      </c>
      <c r="R89" s="10">
        <f t="shared" si="5"/>
        <v>330.54999999999995</v>
      </c>
      <c r="S89" s="10">
        <v>0.54800000000000004</v>
      </c>
      <c r="T89" s="10" t="s">
        <v>20</v>
      </c>
      <c r="U89" s="10" t="s">
        <v>20</v>
      </c>
    </row>
    <row r="90" spans="1:21" hidden="1">
      <c r="A90" s="6">
        <f t="shared" si="4"/>
        <v>75.807000000000002</v>
      </c>
      <c r="B90" s="7">
        <v>14.51</v>
      </c>
      <c r="C90" s="7">
        <v>0</v>
      </c>
      <c r="D90" s="7">
        <v>0.3</v>
      </c>
      <c r="E90" s="7">
        <v>1.6</v>
      </c>
      <c r="F90" s="7">
        <v>2.6</v>
      </c>
      <c r="G90" s="7">
        <v>2</v>
      </c>
      <c r="H90" s="7">
        <v>3.14</v>
      </c>
      <c r="I90" s="7">
        <v>0</v>
      </c>
      <c r="J90" s="7">
        <v>4.2999999999999997E-2</v>
      </c>
      <c r="K90" s="7">
        <v>0</v>
      </c>
      <c r="L90" s="7">
        <v>0</v>
      </c>
      <c r="M90" s="10">
        <v>24.46</v>
      </c>
      <c r="N90" s="10">
        <v>1366.39</v>
      </c>
      <c r="O90" s="4">
        <v>1312.08</v>
      </c>
      <c r="P90" s="10">
        <f t="shared" si="3"/>
        <v>54.310000000000173</v>
      </c>
      <c r="Q90" s="10">
        <v>978.24</v>
      </c>
      <c r="R90" s="10">
        <f t="shared" si="5"/>
        <v>333.83999999999992</v>
      </c>
      <c r="S90" s="10">
        <v>0.54100000000000004</v>
      </c>
      <c r="T90" s="10" t="s">
        <v>20</v>
      </c>
      <c r="U90" s="10" t="s">
        <v>20</v>
      </c>
    </row>
    <row r="91" spans="1:21" hidden="1">
      <c r="A91" s="6">
        <f t="shared" si="4"/>
        <v>75.640999999999991</v>
      </c>
      <c r="B91" s="7">
        <v>14.71</v>
      </c>
      <c r="C91" s="7">
        <v>0</v>
      </c>
      <c r="D91" s="7">
        <v>0.59</v>
      </c>
      <c r="E91" s="7">
        <v>1.3</v>
      </c>
      <c r="F91" s="7">
        <v>2.61</v>
      </c>
      <c r="G91" s="7">
        <v>2.02</v>
      </c>
      <c r="H91" s="7">
        <v>3.06</v>
      </c>
      <c r="I91" s="7">
        <v>0</v>
      </c>
      <c r="J91" s="7">
        <v>5.3999999999999999E-2</v>
      </c>
      <c r="K91" s="7">
        <v>5.0000000000000001E-3</v>
      </c>
      <c r="L91" s="7">
        <v>0.01</v>
      </c>
      <c r="M91" s="10">
        <v>20.7</v>
      </c>
      <c r="N91" s="10">
        <v>1366.61</v>
      </c>
      <c r="O91" s="4">
        <v>1271.29</v>
      </c>
      <c r="P91" s="10">
        <f t="shared" si="3"/>
        <v>95.319999999999936</v>
      </c>
      <c r="Q91" s="10">
        <v>947.96</v>
      </c>
      <c r="R91" s="10">
        <f t="shared" si="5"/>
        <v>323.32999999999993</v>
      </c>
      <c r="S91" s="10">
        <v>0.58799999999999997</v>
      </c>
      <c r="T91" s="10" t="s">
        <v>20</v>
      </c>
      <c r="U91" s="10" t="s">
        <v>20</v>
      </c>
    </row>
    <row r="92" spans="1:21">
      <c r="A92" s="6">
        <f t="shared" si="4"/>
        <v>73.364999999999995</v>
      </c>
      <c r="B92" s="6">
        <v>15.3</v>
      </c>
      <c r="C92" s="6">
        <v>6.0000000000000001E-3</v>
      </c>
      <c r="D92" s="6">
        <v>7.18</v>
      </c>
      <c r="E92" s="6">
        <v>0.64</v>
      </c>
      <c r="F92" s="6">
        <v>2.5299999999999998</v>
      </c>
      <c r="G92" s="6">
        <v>0.95</v>
      </c>
      <c r="H92" s="6">
        <v>0</v>
      </c>
      <c r="I92" s="6">
        <v>0</v>
      </c>
      <c r="J92" s="6">
        <v>2.8000000000000001E-2</v>
      </c>
      <c r="K92" s="6">
        <v>1E-3</v>
      </c>
      <c r="L92" s="6">
        <v>0</v>
      </c>
      <c r="M92" s="10">
        <v>5.76</v>
      </c>
      <c r="N92" s="10">
        <v>1397.93</v>
      </c>
      <c r="O92" s="4">
        <v>1341.6</v>
      </c>
      <c r="P92" s="10">
        <f t="shared" si="3"/>
        <v>56.330000000000155</v>
      </c>
      <c r="Q92" s="10">
        <v>852.42</v>
      </c>
      <c r="R92" s="10">
        <f t="shared" si="5"/>
        <v>489.17999999999995</v>
      </c>
      <c r="S92" s="10">
        <v>0.69899999999999995</v>
      </c>
      <c r="T92" s="10" t="s">
        <v>21</v>
      </c>
      <c r="U92" s="4" t="s">
        <v>21</v>
      </c>
    </row>
    <row r="93" spans="1:21">
      <c r="A93" s="6">
        <f t="shared" si="4"/>
        <v>73.157999999999987</v>
      </c>
      <c r="B93" s="6">
        <v>15.48</v>
      </c>
      <c r="C93" s="6">
        <v>0.04</v>
      </c>
      <c r="D93" s="6">
        <v>6.99</v>
      </c>
      <c r="E93" s="6">
        <v>0.79</v>
      </c>
      <c r="F93" s="6">
        <v>2.4900000000000002</v>
      </c>
      <c r="G93" s="6">
        <v>1</v>
      </c>
      <c r="H93" s="6">
        <v>0</v>
      </c>
      <c r="I93" s="6">
        <v>0</v>
      </c>
      <c r="J93" s="6">
        <v>5.1999999999999998E-2</v>
      </c>
      <c r="K93" s="6">
        <v>0</v>
      </c>
      <c r="L93" s="6">
        <v>0</v>
      </c>
      <c r="M93" s="10">
        <v>10.07</v>
      </c>
      <c r="N93" s="10">
        <v>1395.92</v>
      </c>
      <c r="O93" s="4">
        <v>1336.55</v>
      </c>
      <c r="P93" s="10">
        <f t="shared" si="3"/>
        <v>59.370000000000118</v>
      </c>
      <c r="Q93" s="10">
        <v>875.23</v>
      </c>
      <c r="R93" s="10">
        <f t="shared" si="5"/>
        <v>461.31999999999994</v>
      </c>
      <c r="S93" s="10">
        <v>0.68600000000000005</v>
      </c>
      <c r="T93" s="10" t="s">
        <v>21</v>
      </c>
      <c r="U93" s="4" t="s">
        <v>21</v>
      </c>
    </row>
    <row r="94" spans="1:21">
      <c r="A94" s="6">
        <f t="shared" si="4"/>
        <v>72.27000000000001</v>
      </c>
      <c r="B94" s="6">
        <v>15.38</v>
      </c>
      <c r="C94" s="6">
        <v>0.03</v>
      </c>
      <c r="D94" s="6">
        <v>8.32</v>
      </c>
      <c r="E94" s="6">
        <v>0.86</v>
      </c>
      <c r="F94" s="6">
        <v>2.14</v>
      </c>
      <c r="G94" s="6">
        <v>0.95</v>
      </c>
      <c r="H94" s="6">
        <v>0</v>
      </c>
      <c r="I94" s="6">
        <v>0</v>
      </c>
      <c r="J94" s="6">
        <v>0.05</v>
      </c>
      <c r="K94" s="6">
        <v>0</v>
      </c>
      <c r="L94" s="6">
        <v>0</v>
      </c>
      <c r="M94" s="10">
        <v>10.16</v>
      </c>
      <c r="N94" s="10">
        <v>1402.6</v>
      </c>
      <c r="O94" s="4">
        <v>1344.17</v>
      </c>
      <c r="P94" s="10">
        <f t="shared" si="3"/>
        <v>58.429999999999836</v>
      </c>
      <c r="Q94" s="10">
        <v>865.61</v>
      </c>
      <c r="R94" s="10">
        <f t="shared" si="5"/>
        <v>478.56000000000006</v>
      </c>
      <c r="S94" s="10">
        <v>0.65800000000000003</v>
      </c>
      <c r="T94" s="10" t="s">
        <v>20</v>
      </c>
      <c r="U94" s="4" t="s">
        <v>21</v>
      </c>
    </row>
    <row r="95" spans="1:21">
      <c r="A95" s="6">
        <f t="shared" si="4"/>
        <v>73.724999999999994</v>
      </c>
      <c r="B95" s="6">
        <v>16.22</v>
      </c>
      <c r="C95" s="6">
        <v>0.02</v>
      </c>
      <c r="D95" s="6">
        <v>6.9</v>
      </c>
      <c r="E95" s="6">
        <v>0.68</v>
      </c>
      <c r="F95" s="6">
        <v>2.41</v>
      </c>
      <c r="G95" s="6">
        <v>0</v>
      </c>
      <c r="H95" s="6">
        <v>0</v>
      </c>
      <c r="I95" s="6">
        <v>0</v>
      </c>
      <c r="J95" s="6">
        <v>0.04</v>
      </c>
      <c r="K95" s="6">
        <v>5.0000000000000001E-3</v>
      </c>
      <c r="L95" s="6">
        <v>0</v>
      </c>
      <c r="M95" s="10">
        <v>5.35</v>
      </c>
      <c r="N95" s="10">
        <v>1404.96</v>
      </c>
      <c r="O95" s="4">
        <v>1339.19</v>
      </c>
      <c r="P95" s="10">
        <f t="shared" si="3"/>
        <v>65.769999999999982</v>
      </c>
      <c r="Q95" s="10">
        <v>833.71</v>
      </c>
      <c r="R95" s="10">
        <f t="shared" si="5"/>
        <v>505.48</v>
      </c>
      <c r="S95" s="10">
        <v>0.54900000000000004</v>
      </c>
      <c r="T95" s="10" t="s">
        <v>20</v>
      </c>
      <c r="U95" s="4" t="s">
        <v>21</v>
      </c>
    </row>
    <row r="96" spans="1:21" hidden="1">
      <c r="A96" s="6">
        <f t="shared" si="4"/>
        <v>57.254000000000005</v>
      </c>
      <c r="B96" s="12">
        <v>19.309999999999999</v>
      </c>
      <c r="C96" s="12">
        <v>13.39</v>
      </c>
      <c r="D96" s="12">
        <v>1.08</v>
      </c>
      <c r="E96" s="12">
        <v>1.44</v>
      </c>
      <c r="F96" s="12">
        <v>3.12</v>
      </c>
      <c r="G96" s="12">
        <v>0</v>
      </c>
      <c r="H96" s="12">
        <v>4.3</v>
      </c>
      <c r="I96" s="12">
        <v>0</v>
      </c>
      <c r="J96" s="12">
        <v>4.2000000000000003E-2</v>
      </c>
      <c r="K96" s="12">
        <v>4.0000000000000001E-3</v>
      </c>
      <c r="L96" s="12">
        <v>0.06</v>
      </c>
      <c r="M96" s="10">
        <v>24.71</v>
      </c>
      <c r="N96" s="10">
        <v>1360.65</v>
      </c>
      <c r="O96" s="4">
        <v>1261.6600000000001</v>
      </c>
      <c r="P96" s="10">
        <f t="shared" si="3"/>
        <v>98.990000000000009</v>
      </c>
      <c r="Q96" s="10">
        <v>1037.44</v>
      </c>
      <c r="R96" s="10">
        <f t="shared" si="5"/>
        <v>224.22000000000003</v>
      </c>
      <c r="S96" s="10">
        <v>0.23200000000000001</v>
      </c>
      <c r="T96" s="10" t="s">
        <v>20</v>
      </c>
      <c r="U96" s="10" t="s">
        <v>20</v>
      </c>
    </row>
    <row r="97" spans="1:21" hidden="1">
      <c r="A97" s="6">
        <f t="shared" si="4"/>
        <v>59.344999999999999</v>
      </c>
      <c r="B97" s="12">
        <v>18.3</v>
      </c>
      <c r="C97" s="12">
        <v>12.77</v>
      </c>
      <c r="D97" s="12">
        <v>1.06</v>
      </c>
      <c r="E97" s="12">
        <v>1.37</v>
      </c>
      <c r="F97" s="12">
        <v>2.84</v>
      </c>
      <c r="G97" s="12">
        <v>0</v>
      </c>
      <c r="H97" s="12">
        <v>4.2699999999999996</v>
      </c>
      <c r="I97" s="12">
        <v>0</v>
      </c>
      <c r="J97" s="12">
        <v>3.6999999999999998E-2</v>
      </c>
      <c r="K97" s="12">
        <v>8.0000000000000002E-3</v>
      </c>
      <c r="L97" s="12">
        <v>0</v>
      </c>
      <c r="M97" s="10">
        <v>21.93</v>
      </c>
      <c r="N97" s="10">
        <v>1368.79</v>
      </c>
      <c r="O97" s="4">
        <v>1280.8699999999999</v>
      </c>
      <c r="P97" s="10">
        <f t="shared" si="3"/>
        <v>87.920000000000073</v>
      </c>
      <c r="Q97" s="10">
        <v>1007.65</v>
      </c>
      <c r="R97" s="10">
        <f t="shared" si="5"/>
        <v>273.21999999999991</v>
      </c>
      <c r="S97" s="10">
        <v>0.26300000000000001</v>
      </c>
      <c r="T97" s="10" t="s">
        <v>20</v>
      </c>
      <c r="U97" s="10" t="s">
        <v>20</v>
      </c>
    </row>
    <row r="98" spans="1:21" hidden="1">
      <c r="A98" s="6">
        <f t="shared" ref="A98:A119" si="6">100-B98-C98-D98-E98-F98-G98-H98-I98-J98-K98-L98</f>
        <v>57.627000000000002</v>
      </c>
      <c r="B98" s="12">
        <v>19.2</v>
      </c>
      <c r="C98" s="12">
        <v>13.5</v>
      </c>
      <c r="D98" s="12">
        <v>0.52</v>
      </c>
      <c r="E98" s="12">
        <v>1.41</v>
      </c>
      <c r="F98" s="12">
        <v>3.25</v>
      </c>
      <c r="G98" s="12">
        <v>0</v>
      </c>
      <c r="H98" s="12">
        <v>4.45</v>
      </c>
      <c r="I98" s="12">
        <v>0</v>
      </c>
      <c r="J98" s="12">
        <v>3.5000000000000003E-2</v>
      </c>
      <c r="K98" s="12">
        <v>8.0000000000000002E-3</v>
      </c>
      <c r="L98" s="12">
        <v>0</v>
      </c>
      <c r="M98" s="10">
        <v>25.34</v>
      </c>
      <c r="N98" s="10">
        <v>1339.03</v>
      </c>
      <c r="O98" s="4">
        <v>1275.7</v>
      </c>
      <c r="P98" s="10">
        <f t="shared" si="3"/>
        <v>63.329999999999927</v>
      </c>
      <c r="Q98" s="10">
        <v>999.1</v>
      </c>
      <c r="R98" s="10">
        <f t="shared" si="5"/>
        <v>276.60000000000002</v>
      </c>
      <c r="S98" s="10">
        <v>0.88900000000000001</v>
      </c>
      <c r="T98" s="10" t="s">
        <v>20</v>
      </c>
      <c r="U98" s="10" t="s">
        <v>20</v>
      </c>
    </row>
    <row r="99" spans="1:21" hidden="1">
      <c r="A99" s="6">
        <f t="shared" si="6"/>
        <v>58.091000000000001</v>
      </c>
      <c r="B99" s="12">
        <v>19.100000000000001</v>
      </c>
      <c r="C99" s="12">
        <v>13.2</v>
      </c>
      <c r="D99" s="12">
        <v>0.5</v>
      </c>
      <c r="E99" s="12">
        <v>1.43</v>
      </c>
      <c r="F99" s="12">
        <v>3.21</v>
      </c>
      <c r="G99" s="12">
        <v>0</v>
      </c>
      <c r="H99" s="12">
        <v>4.43</v>
      </c>
      <c r="I99" s="12">
        <v>0</v>
      </c>
      <c r="J99" s="12">
        <v>3.5000000000000003E-2</v>
      </c>
      <c r="K99" s="12">
        <v>4.0000000000000001E-3</v>
      </c>
      <c r="L99" s="12">
        <v>0</v>
      </c>
      <c r="M99" s="10">
        <v>25.07</v>
      </c>
      <c r="N99" s="10">
        <v>1360.66</v>
      </c>
      <c r="O99" s="4">
        <v>1279.47</v>
      </c>
      <c r="P99" s="10">
        <f t="shared" si="3"/>
        <v>81.190000000000055</v>
      </c>
      <c r="Q99" s="10">
        <v>1040</v>
      </c>
      <c r="R99" s="10">
        <f t="shared" si="5"/>
        <v>239.47000000000003</v>
      </c>
      <c r="S99" s="10">
        <v>0.21199999999999999</v>
      </c>
      <c r="T99" s="10" t="s">
        <v>20</v>
      </c>
      <c r="U99" s="10" t="s">
        <v>20</v>
      </c>
    </row>
    <row r="100" spans="1:21" hidden="1">
      <c r="A100" s="6">
        <f t="shared" si="6"/>
        <v>58.854000000000006</v>
      </c>
      <c r="B100" s="12">
        <v>19.309999999999999</v>
      </c>
      <c r="C100" s="12">
        <v>13.39</v>
      </c>
      <c r="D100" s="12">
        <v>0</v>
      </c>
      <c r="E100" s="12">
        <v>1.46</v>
      </c>
      <c r="F100" s="12">
        <v>2.64</v>
      </c>
      <c r="G100" s="12">
        <v>0</v>
      </c>
      <c r="H100" s="12">
        <v>4.3</v>
      </c>
      <c r="I100" s="12">
        <v>0</v>
      </c>
      <c r="J100" s="12">
        <v>4.2000000000000003E-2</v>
      </c>
      <c r="K100" s="12">
        <v>4.0000000000000001E-3</v>
      </c>
      <c r="L100" s="12">
        <v>0</v>
      </c>
      <c r="M100" s="10">
        <v>21.66</v>
      </c>
      <c r="N100" s="10">
        <v>1368.06</v>
      </c>
      <c r="O100" s="4">
        <v>1245.74</v>
      </c>
      <c r="P100" s="10">
        <f t="shared" si="3"/>
        <v>122.31999999999994</v>
      </c>
      <c r="Q100" s="10">
        <v>1008.36</v>
      </c>
      <c r="R100" s="10">
        <f t="shared" si="5"/>
        <v>237.38</v>
      </c>
      <c r="S100" s="10">
        <v>0.22500000000000001</v>
      </c>
      <c r="T100" s="10" t="s">
        <v>20</v>
      </c>
      <c r="U100" s="10" t="s">
        <v>20</v>
      </c>
    </row>
    <row r="101" spans="1:21" hidden="1">
      <c r="A101" s="6">
        <f t="shared" si="6"/>
        <v>58.736000000000018</v>
      </c>
      <c r="B101" s="12">
        <v>19.440000000000001</v>
      </c>
      <c r="C101" s="12">
        <v>13.6</v>
      </c>
      <c r="D101" s="12">
        <v>0</v>
      </c>
      <c r="E101" s="12">
        <v>1.38</v>
      </c>
      <c r="F101" s="12">
        <v>2.62</v>
      </c>
      <c r="G101" s="12">
        <v>0</v>
      </c>
      <c r="H101" s="12">
        <v>4.18</v>
      </c>
      <c r="I101" s="12">
        <v>0</v>
      </c>
      <c r="J101" s="12">
        <v>3.6999999999999998E-2</v>
      </c>
      <c r="K101" s="12">
        <v>7.0000000000000001E-3</v>
      </c>
      <c r="L101" s="12">
        <v>0</v>
      </c>
      <c r="M101" s="10">
        <v>20.88</v>
      </c>
      <c r="N101" s="10">
        <v>1368.99</v>
      </c>
      <c r="O101" s="4">
        <v>1279.72</v>
      </c>
      <c r="P101" s="10">
        <f t="shared" ref="P101:P106" si="7">N101-O101</f>
        <v>89.269999999999982</v>
      </c>
      <c r="Q101" s="10">
        <v>1003.62</v>
      </c>
      <c r="R101" s="10">
        <f t="shared" si="5"/>
        <v>276.10000000000002</v>
      </c>
      <c r="S101" s="10">
        <v>0.251</v>
      </c>
      <c r="T101" s="10" t="s">
        <v>20</v>
      </c>
      <c r="U101" s="10" t="s">
        <v>20</v>
      </c>
    </row>
    <row r="102" spans="1:21" hidden="1">
      <c r="A102" s="6">
        <f t="shared" si="6"/>
        <v>57.570499999999981</v>
      </c>
      <c r="B102" s="12">
        <v>19.21</v>
      </c>
      <c r="C102" s="12">
        <v>14.2</v>
      </c>
      <c r="D102" s="12">
        <v>0.15</v>
      </c>
      <c r="E102" s="12">
        <v>1.37</v>
      </c>
      <c r="F102" s="12">
        <v>2.97</v>
      </c>
      <c r="G102" s="12">
        <v>0</v>
      </c>
      <c r="H102" s="12">
        <v>4.42</v>
      </c>
      <c r="I102" s="12">
        <v>0</v>
      </c>
      <c r="J102" s="12">
        <v>4.8000000000000001E-2</v>
      </c>
      <c r="K102" s="12">
        <v>5.4999999999999997E-3</v>
      </c>
      <c r="L102" s="12">
        <v>5.6000000000000001E-2</v>
      </c>
      <c r="M102" s="10">
        <v>23.23</v>
      </c>
      <c r="N102" s="10">
        <v>1362.63</v>
      </c>
      <c r="O102" s="4">
        <v>1263.1199999999999</v>
      </c>
      <c r="P102" s="10">
        <f t="shared" si="7"/>
        <v>99.510000000000218</v>
      </c>
      <c r="Q102" s="10">
        <v>1023.7</v>
      </c>
      <c r="R102" s="10">
        <f t="shared" si="5"/>
        <v>239.41999999999985</v>
      </c>
      <c r="S102" s="10">
        <v>0.26600000000000001</v>
      </c>
      <c r="T102" s="10" t="s">
        <v>20</v>
      </c>
      <c r="U102" s="10" t="s">
        <v>20</v>
      </c>
    </row>
    <row r="103" spans="1:21" hidden="1">
      <c r="A103" s="6">
        <f t="shared" si="6"/>
        <v>57.83</v>
      </c>
      <c r="B103" s="12">
        <v>19.14</v>
      </c>
      <c r="C103" s="12">
        <v>13.34</v>
      </c>
      <c r="D103" s="12">
        <v>0.47</v>
      </c>
      <c r="E103" s="12">
        <v>1.46</v>
      </c>
      <c r="F103" s="12">
        <v>3.24</v>
      </c>
      <c r="G103" s="12">
        <v>0</v>
      </c>
      <c r="H103" s="12">
        <v>4.42</v>
      </c>
      <c r="I103" s="12">
        <v>0</v>
      </c>
      <c r="J103" s="12">
        <v>4.2000000000000003E-2</v>
      </c>
      <c r="K103" s="12">
        <v>4.0000000000000001E-3</v>
      </c>
      <c r="L103" s="12">
        <v>5.3999999999999999E-2</v>
      </c>
      <c r="M103" s="10">
        <v>25.65</v>
      </c>
      <c r="N103" s="10">
        <v>1359</v>
      </c>
      <c r="O103" s="4">
        <v>1262.02</v>
      </c>
      <c r="P103" s="10">
        <f t="shared" si="7"/>
        <v>96.980000000000018</v>
      </c>
      <c r="Q103" s="10">
        <v>1043.1600000000001</v>
      </c>
      <c r="R103" s="10">
        <f t="shared" si="5"/>
        <v>218.8599999999999</v>
      </c>
      <c r="S103" s="10">
        <v>0.22900000000000001</v>
      </c>
      <c r="T103" s="10" t="s">
        <v>20</v>
      </c>
      <c r="U103" s="10" t="s">
        <v>20</v>
      </c>
    </row>
    <row r="104" spans="1:21" hidden="1">
      <c r="A104" s="6">
        <f t="shared" si="6"/>
        <v>57.246000000000002</v>
      </c>
      <c r="B104" s="12">
        <v>19.510000000000002</v>
      </c>
      <c r="C104" s="12">
        <v>13.49</v>
      </c>
      <c r="D104" s="12">
        <v>0.78</v>
      </c>
      <c r="E104" s="12">
        <v>1.38</v>
      </c>
      <c r="F104" s="12">
        <v>3.09</v>
      </c>
      <c r="G104" s="12">
        <v>0</v>
      </c>
      <c r="H104" s="12">
        <v>4.3899999999999997</v>
      </c>
      <c r="I104" s="12">
        <v>0</v>
      </c>
      <c r="J104" s="12">
        <v>0.05</v>
      </c>
      <c r="K104" s="12">
        <v>4.0000000000000001E-3</v>
      </c>
      <c r="L104" s="12">
        <v>0.06</v>
      </c>
      <c r="M104" s="10">
        <v>24.09</v>
      </c>
      <c r="N104" s="10">
        <v>1360</v>
      </c>
      <c r="O104" s="4">
        <v>1260.99</v>
      </c>
      <c r="P104" s="10">
        <f t="shared" si="7"/>
        <v>99.009999999999991</v>
      </c>
      <c r="Q104" s="10">
        <v>1032.1300000000001</v>
      </c>
      <c r="R104" s="10">
        <f t="shared" si="5"/>
        <v>228.8599999999999</v>
      </c>
      <c r="S104" s="10">
        <v>0.24399999999999999</v>
      </c>
      <c r="T104" s="10" t="s">
        <v>20</v>
      </c>
      <c r="U104" s="10" t="s">
        <v>20</v>
      </c>
    </row>
    <row r="105" spans="1:21" hidden="1">
      <c r="A105" s="6">
        <f t="shared" si="6"/>
        <v>58.583000000000006</v>
      </c>
      <c r="B105" s="12">
        <v>19.3</v>
      </c>
      <c r="C105" s="12">
        <v>13.5</v>
      </c>
      <c r="D105" s="12">
        <v>0</v>
      </c>
      <c r="E105" s="12">
        <v>1.55</v>
      </c>
      <c r="F105" s="12">
        <v>3.1</v>
      </c>
      <c r="G105" s="12">
        <v>0</v>
      </c>
      <c r="H105" s="12">
        <v>3.85</v>
      </c>
      <c r="I105" s="12">
        <v>0</v>
      </c>
      <c r="J105" s="12">
        <v>0.06</v>
      </c>
      <c r="K105" s="12">
        <v>7.0000000000000001E-3</v>
      </c>
      <c r="L105" s="12">
        <v>0.05</v>
      </c>
      <c r="M105" s="10">
        <v>25.4</v>
      </c>
      <c r="N105" s="10">
        <v>1362.03</v>
      </c>
      <c r="O105" s="4">
        <v>1269.21</v>
      </c>
      <c r="P105" s="10">
        <f t="shared" si="7"/>
        <v>92.819999999999936</v>
      </c>
      <c r="Q105" s="10">
        <v>1035.3699999999999</v>
      </c>
      <c r="R105" s="10">
        <f t="shared" si="5"/>
        <v>233.84000000000015</v>
      </c>
      <c r="S105" s="10">
        <v>0.27100000000000002</v>
      </c>
      <c r="T105" s="10" t="s">
        <v>20</v>
      </c>
      <c r="U105" s="10" t="s">
        <v>20</v>
      </c>
    </row>
    <row r="106" spans="1:21">
      <c r="A106" s="6">
        <f t="shared" si="6"/>
        <v>51.82</v>
      </c>
      <c r="B106" s="13">
        <v>18.940000000000001</v>
      </c>
      <c r="C106" s="13">
        <v>0.03</v>
      </c>
      <c r="D106" s="13">
        <v>19.350000000000001</v>
      </c>
      <c r="E106" s="13">
        <v>0.59</v>
      </c>
      <c r="F106" s="13">
        <v>1</v>
      </c>
      <c r="G106" s="13">
        <v>5.23</v>
      </c>
      <c r="H106" s="13">
        <v>3.01</v>
      </c>
      <c r="I106" s="13">
        <v>0</v>
      </c>
      <c r="J106" s="13">
        <v>0.03</v>
      </c>
      <c r="K106" s="13">
        <v>0</v>
      </c>
      <c r="L106" s="13">
        <v>0</v>
      </c>
      <c r="M106" s="10">
        <v>9.19</v>
      </c>
      <c r="N106" s="10">
        <v>1358.84</v>
      </c>
      <c r="O106" s="4">
        <v>1204.32</v>
      </c>
      <c r="P106" s="10">
        <f t="shared" si="7"/>
        <v>154.51999999999998</v>
      </c>
      <c r="Q106" s="10">
        <v>919.93</v>
      </c>
      <c r="R106" s="10">
        <f t="shared" si="5"/>
        <v>284.39</v>
      </c>
      <c r="S106" s="10">
        <v>0.55000000000000004</v>
      </c>
      <c r="T106" s="10" t="s">
        <v>21</v>
      </c>
      <c r="U106" s="4" t="s">
        <v>21</v>
      </c>
    </row>
    <row r="107" spans="1:21">
      <c r="A107" s="6">
        <f t="shared" si="6"/>
        <v>53.228999999999992</v>
      </c>
      <c r="B107" s="13">
        <v>18.920000000000002</v>
      </c>
      <c r="C107" s="13">
        <v>0</v>
      </c>
      <c r="D107" s="13">
        <v>17.600000000000001</v>
      </c>
      <c r="E107" s="13">
        <v>0.56000000000000005</v>
      </c>
      <c r="F107" s="13">
        <v>1</v>
      </c>
      <c r="G107" s="13">
        <v>5.35</v>
      </c>
      <c r="H107" s="13">
        <v>3.3</v>
      </c>
      <c r="I107" s="13">
        <v>0</v>
      </c>
      <c r="J107" s="13">
        <v>0.03</v>
      </c>
      <c r="K107" s="13">
        <v>1.0999999999999999E-2</v>
      </c>
      <c r="L107" s="13">
        <v>0</v>
      </c>
      <c r="M107" s="10">
        <v>8.9700000000000006</v>
      </c>
      <c r="N107" s="10">
        <v>1355.27</v>
      </c>
      <c r="O107" s="4">
        <v>1178.04</v>
      </c>
      <c r="P107" s="10">
        <f t="shared" ref="P107:P136" si="8">N107-O107</f>
        <v>177.23000000000002</v>
      </c>
      <c r="Q107" s="10">
        <v>915.53</v>
      </c>
      <c r="R107" s="10">
        <f t="shared" si="5"/>
        <v>262.51</v>
      </c>
      <c r="S107" s="10">
        <v>0.55800000000000005</v>
      </c>
      <c r="T107" s="10" t="s">
        <v>21</v>
      </c>
      <c r="U107" s="4" t="s">
        <v>21</v>
      </c>
    </row>
    <row r="108" spans="1:21">
      <c r="A108" s="6">
        <f t="shared" si="6"/>
        <v>52.3</v>
      </c>
      <c r="B108" s="13">
        <v>19.010000000000002</v>
      </c>
      <c r="C108" s="13">
        <v>0.02</v>
      </c>
      <c r="D108" s="13">
        <v>18.937000000000001</v>
      </c>
      <c r="E108" s="13">
        <v>0.56999999999999995</v>
      </c>
      <c r="F108" s="13">
        <v>1</v>
      </c>
      <c r="G108" s="13">
        <v>5.07</v>
      </c>
      <c r="H108" s="13">
        <v>3.06</v>
      </c>
      <c r="I108" s="13">
        <v>0</v>
      </c>
      <c r="J108" s="13">
        <v>0.03</v>
      </c>
      <c r="K108" s="13">
        <v>3.0000000000000001E-3</v>
      </c>
      <c r="L108" s="13">
        <v>0</v>
      </c>
      <c r="M108" s="10">
        <v>8.98</v>
      </c>
      <c r="N108" s="10">
        <v>1360.26</v>
      </c>
      <c r="O108" s="4">
        <v>1178.45</v>
      </c>
      <c r="P108" s="10">
        <f t="shared" si="8"/>
        <v>181.80999999999995</v>
      </c>
      <c r="Q108" s="10">
        <v>916.44</v>
      </c>
      <c r="R108" s="10">
        <f t="shared" si="5"/>
        <v>262.01</v>
      </c>
      <c r="S108" s="10">
        <v>0.55500000000000005</v>
      </c>
      <c r="T108" s="10" t="s">
        <v>21</v>
      </c>
      <c r="U108" s="4" t="s">
        <v>21</v>
      </c>
    </row>
    <row r="109" spans="1:21">
      <c r="A109" s="6">
        <f t="shared" si="6"/>
        <v>53.439999999999991</v>
      </c>
      <c r="B109" s="13">
        <v>18.559999999999999</v>
      </c>
      <c r="C109" s="13">
        <v>0</v>
      </c>
      <c r="D109" s="13">
        <v>18.472000000000001</v>
      </c>
      <c r="E109" s="13">
        <v>0.44</v>
      </c>
      <c r="F109" s="13">
        <v>1.04</v>
      </c>
      <c r="G109" s="13">
        <v>5</v>
      </c>
      <c r="H109" s="13">
        <v>3.02</v>
      </c>
      <c r="I109" s="13">
        <v>0</v>
      </c>
      <c r="J109" s="13">
        <v>2.5999999999999999E-2</v>
      </c>
      <c r="K109" s="13">
        <v>2E-3</v>
      </c>
      <c r="L109" s="13">
        <v>0</v>
      </c>
      <c r="M109" s="10">
        <v>5.25</v>
      </c>
      <c r="N109" s="10">
        <v>1362.42</v>
      </c>
      <c r="O109" s="4">
        <v>1187.27</v>
      </c>
      <c r="P109" s="10">
        <f t="shared" si="8"/>
        <v>175.15000000000009</v>
      </c>
      <c r="Q109" s="10">
        <v>852.6</v>
      </c>
      <c r="R109" s="10">
        <f t="shared" si="5"/>
        <v>334.66999999999996</v>
      </c>
      <c r="S109" s="10">
        <v>0.56100000000000005</v>
      </c>
      <c r="T109" s="10" t="s">
        <v>21</v>
      </c>
      <c r="U109" s="4" t="s">
        <v>21</v>
      </c>
    </row>
    <row r="110" spans="1:21">
      <c r="A110" s="6">
        <f t="shared" si="6"/>
        <v>52.3</v>
      </c>
      <c r="B110" s="13">
        <v>19.010000000000002</v>
      </c>
      <c r="C110" s="13">
        <v>0.02</v>
      </c>
      <c r="D110" s="13">
        <v>18.966999999999999</v>
      </c>
      <c r="E110" s="13">
        <v>0.56999999999999995</v>
      </c>
      <c r="F110" s="13">
        <v>1</v>
      </c>
      <c r="G110" s="13">
        <v>5.07</v>
      </c>
      <c r="H110" s="13">
        <v>3.03</v>
      </c>
      <c r="I110" s="13">
        <v>0</v>
      </c>
      <c r="J110" s="13">
        <v>0.03</v>
      </c>
      <c r="K110" s="13">
        <v>3.0000000000000001E-3</v>
      </c>
      <c r="L110" s="13">
        <v>0</v>
      </c>
      <c r="M110" s="10">
        <v>8.98</v>
      </c>
      <c r="N110" s="10">
        <v>1360.42</v>
      </c>
      <c r="O110" s="4">
        <v>1178.57</v>
      </c>
      <c r="P110" s="10">
        <f t="shared" si="8"/>
        <v>181.85000000000014</v>
      </c>
      <c r="Q110" s="10">
        <v>916.4</v>
      </c>
      <c r="R110" s="10">
        <f t="shared" si="5"/>
        <v>262.16999999999996</v>
      </c>
      <c r="S110" s="10">
        <v>0.55600000000000005</v>
      </c>
      <c r="T110" s="10" t="s">
        <v>21</v>
      </c>
      <c r="U110" s="4" t="s">
        <v>21</v>
      </c>
    </row>
    <row r="111" spans="1:21">
      <c r="A111" s="6">
        <f t="shared" si="6"/>
        <v>51.309999999999995</v>
      </c>
      <c r="B111" s="13">
        <v>18.940000000000001</v>
      </c>
      <c r="C111" s="13">
        <v>0.02</v>
      </c>
      <c r="D111" s="13">
        <v>20.215</v>
      </c>
      <c r="E111" s="13">
        <v>0.37</v>
      </c>
      <c r="F111" s="13">
        <v>1.02</v>
      </c>
      <c r="G111" s="13">
        <v>5.0599999999999996</v>
      </c>
      <c r="H111" s="13">
        <v>3.03</v>
      </c>
      <c r="I111" s="13">
        <v>0</v>
      </c>
      <c r="J111" s="13">
        <v>0.03</v>
      </c>
      <c r="K111" s="13">
        <v>5.0000000000000001E-3</v>
      </c>
      <c r="L111" s="13">
        <v>0</v>
      </c>
      <c r="M111" s="10">
        <v>2.64</v>
      </c>
      <c r="N111" s="10">
        <v>1360.32</v>
      </c>
      <c r="O111" s="4">
        <v>1173.03</v>
      </c>
      <c r="P111" s="10">
        <f t="shared" si="8"/>
        <v>187.28999999999996</v>
      </c>
      <c r="Q111" s="10">
        <v>806.73</v>
      </c>
      <c r="R111" s="10">
        <f t="shared" si="5"/>
        <v>366.29999999999995</v>
      </c>
      <c r="S111" s="10">
        <v>0.56000000000000005</v>
      </c>
      <c r="T111" s="10" t="s">
        <v>21</v>
      </c>
      <c r="U111" s="4" t="s">
        <v>21</v>
      </c>
    </row>
    <row r="112" spans="1:21">
      <c r="A112" s="6">
        <f t="shared" si="6"/>
        <v>53.000000000000007</v>
      </c>
      <c r="B112" s="13">
        <v>19</v>
      </c>
      <c r="C112" s="13">
        <v>0</v>
      </c>
      <c r="D112" s="13">
        <v>18.155999999999999</v>
      </c>
      <c r="E112" s="13">
        <v>0.5</v>
      </c>
      <c r="F112" s="13">
        <v>1</v>
      </c>
      <c r="G112" s="13">
        <v>5.3</v>
      </c>
      <c r="H112" s="13">
        <v>3</v>
      </c>
      <c r="I112" s="13">
        <v>0</v>
      </c>
      <c r="J112" s="13">
        <v>0.04</v>
      </c>
      <c r="K112" s="13">
        <v>4.0000000000000001E-3</v>
      </c>
      <c r="L112" s="13">
        <v>0</v>
      </c>
      <c r="M112" s="10">
        <v>7.84</v>
      </c>
      <c r="N112" s="10">
        <v>1357.31</v>
      </c>
      <c r="O112" s="4">
        <v>1178.03</v>
      </c>
      <c r="P112" s="10">
        <f t="shared" si="8"/>
        <v>179.27999999999997</v>
      </c>
      <c r="Q112" s="10">
        <v>894.19</v>
      </c>
      <c r="R112" s="10">
        <f t="shared" si="5"/>
        <v>283.83999999999992</v>
      </c>
      <c r="S112" s="10">
        <v>0.56899999999999995</v>
      </c>
      <c r="T112" s="10" t="s">
        <v>21</v>
      </c>
      <c r="U112" s="4" t="s">
        <v>21</v>
      </c>
    </row>
    <row r="113" spans="1:21">
      <c r="A113" s="6">
        <f t="shared" si="6"/>
        <v>51.7</v>
      </c>
      <c r="B113" s="13">
        <v>19.7</v>
      </c>
      <c r="C113" s="13">
        <v>7.0000000000000007E-2</v>
      </c>
      <c r="D113" s="13">
        <v>18.898599999999998</v>
      </c>
      <c r="E113" s="13">
        <v>0.42</v>
      </c>
      <c r="F113" s="13">
        <v>1.01</v>
      </c>
      <c r="G113" s="13">
        <v>5.04</v>
      </c>
      <c r="H113" s="13">
        <v>3.12</v>
      </c>
      <c r="I113" s="13">
        <v>0</v>
      </c>
      <c r="J113" s="13">
        <v>3.9E-2</v>
      </c>
      <c r="K113" s="13">
        <v>2.3999999999999998E-3</v>
      </c>
      <c r="L113" s="13">
        <v>0</v>
      </c>
      <c r="M113" s="10">
        <v>4.8899999999999997</v>
      </c>
      <c r="N113" s="10">
        <v>1357.83</v>
      </c>
      <c r="O113" s="4">
        <v>1174.03</v>
      </c>
      <c r="P113" s="10">
        <f t="shared" si="8"/>
        <v>183.79999999999995</v>
      </c>
      <c r="Q113" s="10">
        <v>848.92</v>
      </c>
      <c r="R113" s="10">
        <f t="shared" si="5"/>
        <v>325.11</v>
      </c>
      <c r="S113" s="10">
        <v>0.57099999999999995</v>
      </c>
      <c r="T113" s="10" t="s">
        <v>21</v>
      </c>
      <c r="U113" s="4" t="s">
        <v>21</v>
      </c>
    </row>
    <row r="114" spans="1:21">
      <c r="A114" s="6">
        <f t="shared" si="6"/>
        <v>53.000000000000007</v>
      </c>
      <c r="B114" s="13">
        <v>19</v>
      </c>
      <c r="C114" s="13">
        <v>0</v>
      </c>
      <c r="D114" s="13">
        <v>18.149999999999999</v>
      </c>
      <c r="E114" s="13">
        <v>0.5</v>
      </c>
      <c r="F114" s="13">
        <v>1</v>
      </c>
      <c r="G114" s="13">
        <v>5.3</v>
      </c>
      <c r="H114" s="13">
        <v>3</v>
      </c>
      <c r="I114" s="13">
        <v>0</v>
      </c>
      <c r="J114" s="13">
        <v>0.05</v>
      </c>
      <c r="K114" s="13">
        <v>0</v>
      </c>
      <c r="L114" s="13">
        <v>0</v>
      </c>
      <c r="M114" s="10">
        <v>7.81</v>
      </c>
      <c r="N114" s="10">
        <v>1357.12</v>
      </c>
      <c r="O114" s="4">
        <v>1211.74</v>
      </c>
      <c r="P114" s="10">
        <f t="shared" si="8"/>
        <v>145.37999999999988</v>
      </c>
      <c r="Q114" s="10">
        <v>893.4</v>
      </c>
      <c r="R114" s="10">
        <f t="shared" si="5"/>
        <v>318.34000000000003</v>
      </c>
      <c r="S114" s="10">
        <v>0.56899999999999995</v>
      </c>
      <c r="T114" s="10" t="s">
        <v>21</v>
      </c>
      <c r="U114" s="4" t="s">
        <v>21</v>
      </c>
    </row>
    <row r="115" spans="1:21">
      <c r="A115" s="6">
        <f t="shared" si="6"/>
        <v>52.819999999999986</v>
      </c>
      <c r="B115" s="13">
        <v>18.96</v>
      </c>
      <c r="C115" s="13">
        <v>0</v>
      </c>
      <c r="D115" s="13">
        <v>18.36</v>
      </c>
      <c r="E115" s="13">
        <v>0.59</v>
      </c>
      <c r="F115" s="13">
        <v>1</v>
      </c>
      <c r="G115" s="13">
        <v>5.23</v>
      </c>
      <c r="H115" s="13">
        <v>3.01</v>
      </c>
      <c r="I115" s="13">
        <v>0</v>
      </c>
      <c r="J115" s="13">
        <v>0.03</v>
      </c>
      <c r="K115" s="13">
        <v>0</v>
      </c>
      <c r="L115" s="13">
        <v>0</v>
      </c>
      <c r="M115" s="10">
        <v>9.2100000000000009</v>
      </c>
      <c r="N115" s="10">
        <v>1358.91</v>
      </c>
      <c r="O115" s="4">
        <v>1208.99</v>
      </c>
      <c r="P115" s="10">
        <f t="shared" si="8"/>
        <v>149.92000000000007</v>
      </c>
      <c r="Q115" s="10">
        <v>918.01</v>
      </c>
      <c r="R115" s="10">
        <f t="shared" si="5"/>
        <v>290.98</v>
      </c>
      <c r="S115" s="10">
        <v>0.55300000000000005</v>
      </c>
      <c r="T115" s="10" t="s">
        <v>21</v>
      </c>
      <c r="U115" s="4" t="s">
        <v>21</v>
      </c>
    </row>
    <row r="116" spans="1:21">
      <c r="A116" s="6">
        <f t="shared" si="6"/>
        <v>52.885999999999989</v>
      </c>
      <c r="B116" s="13">
        <v>18.73</v>
      </c>
      <c r="C116" s="13">
        <v>0.03</v>
      </c>
      <c r="D116" s="13">
        <v>18.22</v>
      </c>
      <c r="E116" s="13">
        <v>0.5</v>
      </c>
      <c r="F116" s="13">
        <v>1.06</v>
      </c>
      <c r="G116" s="13">
        <v>5.48</v>
      </c>
      <c r="H116" s="13">
        <v>3.06</v>
      </c>
      <c r="I116" s="13">
        <v>0</v>
      </c>
      <c r="J116" s="13">
        <v>0.03</v>
      </c>
      <c r="K116" s="13">
        <v>4.0000000000000001E-3</v>
      </c>
      <c r="L116" s="13">
        <v>0</v>
      </c>
      <c r="M116" s="10">
        <v>7.84</v>
      </c>
      <c r="N116" s="10">
        <v>1354.83</v>
      </c>
      <c r="O116" s="4">
        <v>1172.69</v>
      </c>
      <c r="P116" s="10">
        <f t="shared" si="8"/>
        <v>182.13999999999987</v>
      </c>
      <c r="Q116" s="10">
        <v>894.93</v>
      </c>
      <c r="R116" s="10">
        <f t="shared" si="5"/>
        <v>277.7600000000001</v>
      </c>
      <c r="S116" s="10">
        <v>0.56699999999999995</v>
      </c>
      <c r="T116" s="10" t="s">
        <v>21</v>
      </c>
      <c r="U116" s="4" t="s">
        <v>21</v>
      </c>
    </row>
    <row r="117" spans="1:21">
      <c r="A117" s="6">
        <f t="shared" si="6"/>
        <v>52.96</v>
      </c>
      <c r="B117" s="13">
        <v>19</v>
      </c>
      <c r="C117" s="13">
        <v>0</v>
      </c>
      <c r="D117" s="13">
        <v>18.5</v>
      </c>
      <c r="E117" s="13">
        <v>0.5</v>
      </c>
      <c r="F117" s="13">
        <v>0.9</v>
      </c>
      <c r="G117" s="13">
        <v>5.0999999999999996</v>
      </c>
      <c r="H117" s="13">
        <v>3</v>
      </c>
      <c r="I117" s="13">
        <v>0</v>
      </c>
      <c r="J117" s="13">
        <v>0.04</v>
      </c>
      <c r="K117" s="13">
        <v>0</v>
      </c>
      <c r="L117" s="13">
        <v>0</v>
      </c>
      <c r="M117" s="10">
        <v>7.4</v>
      </c>
      <c r="N117" s="10">
        <v>1361.99</v>
      </c>
      <c r="O117" s="4">
        <v>1216.48</v>
      </c>
      <c r="P117" s="10">
        <f t="shared" si="8"/>
        <v>145.51</v>
      </c>
      <c r="Q117" s="10">
        <v>891.79</v>
      </c>
      <c r="R117" s="10">
        <f t="shared" si="5"/>
        <v>324.69000000000005</v>
      </c>
      <c r="S117" s="10">
        <v>0.56299999999999994</v>
      </c>
      <c r="T117" s="10" t="s">
        <v>20</v>
      </c>
      <c r="U117" s="4" t="s">
        <v>21</v>
      </c>
    </row>
    <row r="118" spans="1:21">
      <c r="A118" s="6">
        <f t="shared" si="6"/>
        <v>52.300000000000004</v>
      </c>
      <c r="B118" s="13">
        <v>18.18</v>
      </c>
      <c r="C118" s="13">
        <v>0</v>
      </c>
      <c r="D118" s="13">
        <v>19.139399999999998</v>
      </c>
      <c r="E118" s="13">
        <v>1.24</v>
      </c>
      <c r="F118" s="13">
        <v>0.93</v>
      </c>
      <c r="G118" s="13">
        <v>5.16</v>
      </c>
      <c r="H118" s="13">
        <v>3.01</v>
      </c>
      <c r="I118" s="13">
        <v>0</v>
      </c>
      <c r="J118" s="13">
        <v>3.1E-2</v>
      </c>
      <c r="K118" s="13">
        <v>9.5999999999999992E-3</v>
      </c>
      <c r="L118" s="13">
        <v>0</v>
      </c>
      <c r="M118" s="10">
        <v>15.21</v>
      </c>
      <c r="N118" s="10">
        <v>1360.73</v>
      </c>
      <c r="O118" s="4">
        <v>1187</v>
      </c>
      <c r="P118" s="10">
        <f t="shared" si="8"/>
        <v>173.73000000000002</v>
      </c>
      <c r="Q118" s="10">
        <v>950.52</v>
      </c>
      <c r="R118" s="10">
        <f t="shared" si="5"/>
        <v>236.48000000000002</v>
      </c>
      <c r="S118" s="10">
        <v>0.45</v>
      </c>
      <c r="T118" s="10" t="s">
        <v>21</v>
      </c>
      <c r="U118" s="4" t="s">
        <v>21</v>
      </c>
    </row>
    <row r="119" spans="1:21">
      <c r="A119" s="6">
        <f t="shared" si="6"/>
        <v>53.228999999999992</v>
      </c>
      <c r="B119" s="13">
        <v>18.920000000000002</v>
      </c>
      <c r="C119" s="13">
        <v>0</v>
      </c>
      <c r="D119" s="13">
        <v>17.600000000000001</v>
      </c>
      <c r="E119" s="13">
        <v>0.56000000000000005</v>
      </c>
      <c r="F119" s="13">
        <v>1</v>
      </c>
      <c r="G119" s="13">
        <v>5.35</v>
      </c>
      <c r="H119" s="13">
        <v>3.3</v>
      </c>
      <c r="I119" s="13">
        <v>0</v>
      </c>
      <c r="J119" s="13">
        <v>0.03</v>
      </c>
      <c r="K119" s="13">
        <v>1.0999999999999999E-2</v>
      </c>
      <c r="L119" s="13">
        <v>0</v>
      </c>
      <c r="M119" s="10">
        <v>8.9700000000000006</v>
      </c>
      <c r="N119" s="10">
        <v>1355.27</v>
      </c>
      <c r="O119" s="4">
        <v>1178.04</v>
      </c>
      <c r="P119" s="10">
        <f t="shared" si="8"/>
        <v>177.23000000000002</v>
      </c>
      <c r="Q119" s="10">
        <v>915.53</v>
      </c>
      <c r="R119" s="10">
        <f t="shared" si="5"/>
        <v>262.51</v>
      </c>
      <c r="S119" s="10">
        <v>0.55800000000000005</v>
      </c>
      <c r="T119" s="10" t="s">
        <v>21</v>
      </c>
      <c r="U119" s="4" t="s">
        <v>21</v>
      </c>
    </row>
    <row r="120" spans="1:21" s="3" customFormat="1" hidden="1">
      <c r="A120" s="6">
        <f>100-B120-C120-D120-E120-F120-G120-H120-I120-J120-K120-L120</f>
        <v>58.894999999999996</v>
      </c>
      <c r="B120" s="13">
        <v>15.7</v>
      </c>
      <c r="C120" s="13">
        <v>8.5</v>
      </c>
      <c r="D120" s="13">
        <v>4</v>
      </c>
      <c r="E120" s="13">
        <v>2.25</v>
      </c>
      <c r="F120" s="13">
        <v>3.7</v>
      </c>
      <c r="G120" s="13">
        <v>1.1000000000000001</v>
      </c>
      <c r="H120" s="13">
        <v>3.1</v>
      </c>
      <c r="I120" s="13">
        <v>2.7</v>
      </c>
      <c r="J120" s="13">
        <v>1.4999999999999999E-2</v>
      </c>
      <c r="K120" s="13">
        <v>0.01</v>
      </c>
      <c r="L120" s="13">
        <v>0.03</v>
      </c>
      <c r="M120" s="3">
        <v>38.659999999999997</v>
      </c>
      <c r="N120" s="3">
        <v>1351.4</v>
      </c>
      <c r="O120" s="4">
        <v>1262.58</v>
      </c>
      <c r="P120" s="3">
        <f t="shared" si="8"/>
        <v>88.820000000000164</v>
      </c>
      <c r="Q120" s="3">
        <v>1103.24</v>
      </c>
      <c r="R120" s="10">
        <f t="shared" si="5"/>
        <v>159.33999999999992</v>
      </c>
      <c r="S120" s="3">
        <v>0.16800000000000001</v>
      </c>
      <c r="T120" s="10" t="s">
        <v>21</v>
      </c>
      <c r="U120" s="10" t="s">
        <v>20</v>
      </c>
    </row>
    <row r="121" spans="1:21" s="3" customFormat="1" hidden="1">
      <c r="A121" s="6">
        <f>100-B121-C121-D121-E121-F121-G121-H121-I121-J121-K121-L121</f>
        <v>59.363999999999997</v>
      </c>
      <c r="B121" s="13">
        <v>15.83</v>
      </c>
      <c r="C121" s="13">
        <v>8.2799999999999994</v>
      </c>
      <c r="D121" s="13">
        <v>4.1500000000000004</v>
      </c>
      <c r="E121" s="13">
        <v>2.31</v>
      </c>
      <c r="F121" s="13">
        <v>3.44</v>
      </c>
      <c r="G121" s="13">
        <v>1.1000000000000001</v>
      </c>
      <c r="H121" s="13">
        <v>2.86</v>
      </c>
      <c r="I121" s="13">
        <v>2.6</v>
      </c>
      <c r="J121" s="13">
        <v>0.02</v>
      </c>
      <c r="K121" s="13">
        <v>1.0999999999999999E-2</v>
      </c>
      <c r="L121" s="13">
        <v>3.5000000000000003E-2</v>
      </c>
      <c r="M121" s="3">
        <v>37.56</v>
      </c>
      <c r="N121" s="3">
        <v>1355.47</v>
      </c>
      <c r="O121" s="4">
        <v>1266.3399999999999</v>
      </c>
      <c r="P121" s="3">
        <f t="shared" si="8"/>
        <v>89.130000000000109</v>
      </c>
      <c r="Q121" s="3">
        <v>1095.42</v>
      </c>
      <c r="R121" s="10">
        <f t="shared" si="5"/>
        <v>170.91999999999985</v>
      </c>
      <c r="S121" s="3">
        <v>0.16</v>
      </c>
      <c r="T121" s="10" t="s">
        <v>21</v>
      </c>
      <c r="U121" s="10" t="s">
        <v>20</v>
      </c>
    </row>
    <row r="122" spans="1:21" hidden="1">
      <c r="A122" s="6">
        <f>100-B122-C122-D122-E122-F122-G122-H122-I122-J122-K122-L122</f>
        <v>58.84</v>
      </c>
      <c r="B122" s="13">
        <v>16</v>
      </c>
      <c r="C122" s="13">
        <v>8.5</v>
      </c>
      <c r="D122" s="13">
        <v>4</v>
      </c>
      <c r="E122" s="13">
        <v>2.2999999999999998</v>
      </c>
      <c r="F122" s="13">
        <v>3.5</v>
      </c>
      <c r="G122" s="13">
        <v>1.1000000000000001</v>
      </c>
      <c r="H122" s="13">
        <v>3</v>
      </c>
      <c r="I122" s="13">
        <v>2.7</v>
      </c>
      <c r="J122" s="13">
        <v>0.02</v>
      </c>
      <c r="K122" s="13">
        <v>0.01</v>
      </c>
      <c r="L122" s="13">
        <v>0.03</v>
      </c>
      <c r="M122" s="10">
        <v>37.9</v>
      </c>
      <c r="N122" s="10">
        <v>1353.25</v>
      </c>
      <c r="O122" s="4">
        <v>1265.32</v>
      </c>
      <c r="P122" s="10">
        <f t="shared" si="8"/>
        <v>87.930000000000064</v>
      </c>
      <c r="Q122" s="10">
        <v>1098.45</v>
      </c>
      <c r="R122" s="10">
        <f t="shared" si="5"/>
        <v>166.86999999999989</v>
      </c>
      <c r="S122" s="10">
        <v>0.158</v>
      </c>
      <c r="T122" s="10" t="s">
        <v>21</v>
      </c>
      <c r="U122" s="10" t="s">
        <v>20</v>
      </c>
    </row>
    <row r="123" spans="1:21" hidden="1">
      <c r="A123" s="6">
        <f>100-B123-C123-D123-E123-F123-G123-H123-I123-J123-K123-L123</f>
        <v>59.194999999999993</v>
      </c>
      <c r="B123" s="13">
        <v>15.7</v>
      </c>
      <c r="C123" s="13">
        <v>8.5</v>
      </c>
      <c r="D123" s="13">
        <v>4</v>
      </c>
      <c r="E123" s="13">
        <v>2.25</v>
      </c>
      <c r="F123" s="13">
        <v>3.4</v>
      </c>
      <c r="G123" s="13">
        <v>1.1000000000000001</v>
      </c>
      <c r="H123" s="13">
        <v>3.1</v>
      </c>
      <c r="I123" s="13">
        <v>2.7</v>
      </c>
      <c r="J123" s="13">
        <v>1.4999999999999999E-2</v>
      </c>
      <c r="K123" s="13">
        <v>0.01</v>
      </c>
      <c r="L123" s="13">
        <v>0.03</v>
      </c>
      <c r="M123" s="10">
        <v>36.89</v>
      </c>
      <c r="N123" s="10">
        <v>1355.98</v>
      </c>
      <c r="O123" s="4">
        <v>1266.6400000000001</v>
      </c>
      <c r="P123" s="10">
        <f t="shared" si="8"/>
        <v>89.339999999999918</v>
      </c>
      <c r="Q123" s="10">
        <v>1092.68</v>
      </c>
      <c r="R123" s="10">
        <f t="shared" si="5"/>
        <v>173.96000000000004</v>
      </c>
      <c r="S123" s="10">
        <v>0.16300000000000001</v>
      </c>
      <c r="T123" s="10" t="s">
        <v>21</v>
      </c>
      <c r="U123" s="10" t="s">
        <v>20</v>
      </c>
    </row>
    <row r="124" spans="1:21" hidden="1">
      <c r="A124" s="6">
        <f t="shared" ref="A124:A136" si="9">100-B124-C124-D124-E124-F124-G124-H124-I124-J124-K124-L124</f>
        <v>58.226000000000006</v>
      </c>
      <c r="B124" s="13">
        <v>15.52</v>
      </c>
      <c r="C124" s="13">
        <v>14.44</v>
      </c>
      <c r="D124" s="13">
        <v>0</v>
      </c>
      <c r="E124" s="13">
        <v>2.5499999999999998</v>
      </c>
      <c r="F124" s="13">
        <v>4.9800000000000004</v>
      </c>
      <c r="G124" s="13">
        <v>0</v>
      </c>
      <c r="H124" s="13">
        <v>3.02</v>
      </c>
      <c r="I124" s="13">
        <v>1.18</v>
      </c>
      <c r="J124" s="13">
        <v>1.6E-2</v>
      </c>
      <c r="K124" s="13">
        <v>1.7999999999999999E-2</v>
      </c>
      <c r="L124" s="13">
        <v>0.05</v>
      </c>
      <c r="M124" s="10">
        <v>45.48</v>
      </c>
      <c r="N124" s="10">
        <v>1347.3</v>
      </c>
      <c r="O124" s="4">
        <v>1267.71</v>
      </c>
      <c r="P124" s="10">
        <f t="shared" si="8"/>
        <v>79.589999999999918</v>
      </c>
      <c r="Q124" s="10">
        <v>1156.8399999999999</v>
      </c>
      <c r="R124" s="10">
        <f t="shared" si="5"/>
        <v>110.87000000000012</v>
      </c>
      <c r="S124" s="10">
        <v>0.14899999999999999</v>
      </c>
      <c r="T124" s="10" t="s">
        <v>21</v>
      </c>
      <c r="U124" s="10" t="s">
        <v>21</v>
      </c>
    </row>
    <row r="125" spans="1:21" hidden="1">
      <c r="A125" s="6">
        <f t="shared" si="9"/>
        <v>57.639999999999986</v>
      </c>
      <c r="B125" s="13">
        <v>15.93</v>
      </c>
      <c r="C125" s="13">
        <v>14.56</v>
      </c>
      <c r="D125" s="13">
        <v>0</v>
      </c>
      <c r="E125" s="13">
        <v>2.5099999999999998</v>
      </c>
      <c r="F125" s="13">
        <v>5.0199999999999996</v>
      </c>
      <c r="G125" s="13">
        <v>0</v>
      </c>
      <c r="H125" s="13">
        <v>3.02</v>
      </c>
      <c r="I125" s="13">
        <v>1.24</v>
      </c>
      <c r="J125" s="13">
        <v>1.6E-2</v>
      </c>
      <c r="K125" s="13">
        <v>1.4E-2</v>
      </c>
      <c r="L125" s="13">
        <v>0.05</v>
      </c>
      <c r="M125" s="10">
        <v>45.46</v>
      </c>
      <c r="N125" s="10">
        <v>1345.74</v>
      </c>
      <c r="O125" s="4">
        <v>1265.45</v>
      </c>
      <c r="P125" s="10">
        <f t="shared" si="8"/>
        <v>80.289999999999964</v>
      </c>
      <c r="Q125" s="10">
        <v>1157.8</v>
      </c>
      <c r="R125" s="10">
        <f t="shared" si="5"/>
        <v>107.65000000000009</v>
      </c>
      <c r="S125" s="10">
        <v>0.16</v>
      </c>
      <c r="T125" s="10" t="s">
        <v>21</v>
      </c>
      <c r="U125" s="10" t="s">
        <v>21</v>
      </c>
    </row>
    <row r="126" spans="1:21" hidden="1">
      <c r="A126" s="6">
        <f t="shared" si="9"/>
        <v>57.22</v>
      </c>
      <c r="B126" s="13">
        <v>16.3</v>
      </c>
      <c r="C126" s="13">
        <v>14.8</v>
      </c>
      <c r="D126" s="13">
        <v>0</v>
      </c>
      <c r="E126" s="13">
        <v>2.4</v>
      </c>
      <c r="F126" s="13">
        <v>4.8</v>
      </c>
      <c r="G126" s="13">
        <v>0</v>
      </c>
      <c r="H126" s="13">
        <v>3.1</v>
      </c>
      <c r="I126" s="13">
        <v>1.3</v>
      </c>
      <c r="J126" s="13">
        <v>0.03</v>
      </c>
      <c r="K126" s="13">
        <v>0.02</v>
      </c>
      <c r="L126" s="13">
        <v>0.03</v>
      </c>
      <c r="M126" s="10">
        <v>43.17</v>
      </c>
      <c r="N126" s="10">
        <v>1346.94</v>
      </c>
      <c r="O126" s="4">
        <v>1273.6099999999999</v>
      </c>
      <c r="P126" s="10">
        <f t="shared" si="8"/>
        <v>73.330000000000155</v>
      </c>
      <c r="Q126" s="10">
        <v>1145.6400000000001</v>
      </c>
      <c r="R126" s="10">
        <f t="shared" si="5"/>
        <v>127.9699999999998</v>
      </c>
      <c r="S126" s="10">
        <v>0.153</v>
      </c>
      <c r="T126" s="10" t="s">
        <v>21</v>
      </c>
      <c r="U126" s="10" t="s">
        <v>20</v>
      </c>
    </row>
    <row r="127" spans="1:21" hidden="1">
      <c r="A127" s="6">
        <f t="shared" si="9"/>
        <v>57.177</v>
      </c>
      <c r="B127" s="13">
        <v>16</v>
      </c>
      <c r="C127" s="13">
        <v>15</v>
      </c>
      <c r="D127" s="13">
        <v>0</v>
      </c>
      <c r="E127" s="13">
        <v>2.5</v>
      </c>
      <c r="F127" s="13">
        <v>5</v>
      </c>
      <c r="G127" s="13">
        <v>0</v>
      </c>
      <c r="H127" s="13">
        <v>3</v>
      </c>
      <c r="I127" s="13">
        <v>1.25</v>
      </c>
      <c r="J127" s="13">
        <v>2.5000000000000001E-2</v>
      </c>
      <c r="K127" s="13">
        <v>1.7999999999999999E-2</v>
      </c>
      <c r="L127" s="13">
        <v>0.03</v>
      </c>
      <c r="M127" s="10">
        <v>45.15</v>
      </c>
      <c r="N127" s="10">
        <v>1345.56</v>
      </c>
      <c r="O127" s="4">
        <v>1272.67</v>
      </c>
      <c r="P127" s="10">
        <f t="shared" si="8"/>
        <v>72.889999999999873</v>
      </c>
      <c r="Q127" s="10">
        <v>1156.46</v>
      </c>
      <c r="R127" s="10">
        <f t="shared" si="5"/>
        <v>116.21000000000004</v>
      </c>
      <c r="S127" s="10">
        <v>0.159</v>
      </c>
      <c r="T127" s="10" t="s">
        <v>21</v>
      </c>
      <c r="U127" s="10" t="s">
        <v>21</v>
      </c>
    </row>
    <row r="128" spans="1:21" hidden="1">
      <c r="A128" s="6">
        <f t="shared" si="9"/>
        <v>56.399000000000001</v>
      </c>
      <c r="B128" s="13">
        <v>16.2</v>
      </c>
      <c r="C128" s="13">
        <v>15.3</v>
      </c>
      <c r="D128" s="13">
        <v>0</v>
      </c>
      <c r="E128" s="13">
        <v>2.4700000000000002</v>
      </c>
      <c r="F128" s="13">
        <v>5.18</v>
      </c>
      <c r="G128" s="13">
        <v>0</v>
      </c>
      <c r="H128" s="13">
        <v>3.06</v>
      </c>
      <c r="I128" s="13">
        <v>1.3</v>
      </c>
      <c r="J128" s="13">
        <v>2.3E-2</v>
      </c>
      <c r="K128" s="13">
        <v>1.7999999999999999E-2</v>
      </c>
      <c r="L128" s="13">
        <v>0.05</v>
      </c>
      <c r="M128" s="10">
        <v>46.07</v>
      </c>
      <c r="N128" s="10">
        <v>1341.96</v>
      </c>
      <c r="O128" s="4">
        <v>1262.28</v>
      </c>
      <c r="P128" s="10">
        <f t="shared" si="8"/>
        <v>79.680000000000064</v>
      </c>
      <c r="Q128" s="10">
        <v>1162.3800000000001</v>
      </c>
      <c r="R128" s="10">
        <f t="shared" si="5"/>
        <v>99.899999999999864</v>
      </c>
      <c r="S128" s="10">
        <v>0.18099999999999999</v>
      </c>
      <c r="T128" s="10" t="s">
        <v>21</v>
      </c>
      <c r="U128" s="10" t="s">
        <v>21</v>
      </c>
    </row>
    <row r="129" spans="1:21" hidden="1">
      <c r="A129" s="6">
        <f t="shared" si="9"/>
        <v>56.185000000000002</v>
      </c>
      <c r="B129" s="13">
        <v>16</v>
      </c>
      <c r="C129" s="13">
        <v>13</v>
      </c>
      <c r="D129" s="13">
        <v>0</v>
      </c>
      <c r="E129" s="13">
        <v>2.2000000000000002</v>
      </c>
      <c r="F129" s="13">
        <v>3.8</v>
      </c>
      <c r="G129" s="13">
        <v>0.7</v>
      </c>
      <c r="H129" s="13">
        <v>4</v>
      </c>
      <c r="I129" s="13">
        <v>4</v>
      </c>
      <c r="J129" s="13">
        <v>0.05</v>
      </c>
      <c r="K129" s="13">
        <v>1.4999999999999999E-2</v>
      </c>
      <c r="L129" s="13">
        <v>0.05</v>
      </c>
      <c r="M129" s="10">
        <v>39.24</v>
      </c>
      <c r="N129" s="10">
        <v>1346.57</v>
      </c>
      <c r="O129" s="4">
        <v>1261.4000000000001</v>
      </c>
      <c r="P129" s="10">
        <f t="shared" si="8"/>
        <v>85.169999999999845</v>
      </c>
      <c r="Q129" s="10">
        <v>1112.25</v>
      </c>
      <c r="R129" s="10">
        <f t="shared" si="5"/>
        <v>149.15000000000009</v>
      </c>
      <c r="S129" s="10">
        <v>0.157</v>
      </c>
      <c r="T129" s="10" t="s">
        <v>21</v>
      </c>
      <c r="U129" s="10" t="s">
        <v>20</v>
      </c>
    </row>
    <row r="130" spans="1:21" hidden="1">
      <c r="A130" s="6">
        <f t="shared" si="9"/>
        <v>56.769999999999996</v>
      </c>
      <c r="B130" s="13">
        <v>15.7</v>
      </c>
      <c r="C130" s="13">
        <v>12.9</v>
      </c>
      <c r="D130" s="13">
        <v>0</v>
      </c>
      <c r="E130" s="13">
        <v>2.1</v>
      </c>
      <c r="F130" s="13">
        <v>3.7</v>
      </c>
      <c r="G130" s="13">
        <v>0.7</v>
      </c>
      <c r="H130" s="13">
        <v>4</v>
      </c>
      <c r="I130" s="13">
        <v>4</v>
      </c>
      <c r="J130" s="13">
        <v>0.05</v>
      </c>
      <c r="K130" s="13">
        <v>0.03</v>
      </c>
      <c r="L130" s="13">
        <v>0.05</v>
      </c>
      <c r="M130" s="10">
        <v>37.659999999999997</v>
      </c>
      <c r="N130" s="10">
        <v>1349.01</v>
      </c>
      <c r="O130" s="4">
        <v>1263.81</v>
      </c>
      <c r="P130" s="10">
        <f t="shared" si="8"/>
        <v>85.200000000000045</v>
      </c>
      <c r="Q130" s="10">
        <v>1101.72</v>
      </c>
      <c r="R130" s="10">
        <f t="shared" si="5"/>
        <v>162.08999999999992</v>
      </c>
      <c r="S130" s="10">
        <v>0.17699999999999999</v>
      </c>
      <c r="T130" s="10" t="s">
        <v>21</v>
      </c>
      <c r="U130" s="10" t="s">
        <v>20</v>
      </c>
    </row>
    <row r="131" spans="1:21" hidden="1">
      <c r="A131" s="6">
        <f t="shared" si="9"/>
        <v>56.849999999999994</v>
      </c>
      <c r="B131" s="13">
        <v>15.84</v>
      </c>
      <c r="C131" s="13">
        <v>12.59</v>
      </c>
      <c r="D131" s="13">
        <v>9.2999999999999999E-2</v>
      </c>
      <c r="E131" s="13">
        <v>2.09</v>
      </c>
      <c r="F131" s="13">
        <v>3.73</v>
      </c>
      <c r="G131" s="13">
        <v>0.8</v>
      </c>
      <c r="H131" s="13">
        <v>3.94</v>
      </c>
      <c r="I131" s="13">
        <v>3.98</v>
      </c>
      <c r="J131" s="13">
        <v>3.7999999999999999E-2</v>
      </c>
      <c r="K131" s="13">
        <v>1.2E-2</v>
      </c>
      <c r="L131" s="13">
        <v>3.6999999999999998E-2</v>
      </c>
      <c r="M131" s="10">
        <v>38.020000000000003</v>
      </c>
      <c r="N131" s="10">
        <v>1349.32</v>
      </c>
      <c r="O131" s="4">
        <v>1263.83</v>
      </c>
      <c r="P131" s="10">
        <f t="shared" si="8"/>
        <v>85.490000000000009</v>
      </c>
      <c r="Q131" s="10">
        <v>1106.25</v>
      </c>
      <c r="R131" s="10">
        <f t="shared" ref="R131:R136" si="10">ABS(O131-Q131)</f>
        <v>157.57999999999993</v>
      </c>
      <c r="S131" s="10">
        <v>0.17799999999999999</v>
      </c>
      <c r="T131" s="10" t="s">
        <v>21</v>
      </c>
      <c r="U131" s="10" t="s">
        <v>20</v>
      </c>
    </row>
    <row r="132" spans="1:21">
      <c r="A132" s="6">
        <f t="shared" si="9"/>
        <v>74.093099999999993</v>
      </c>
      <c r="B132" s="3">
        <v>20.45</v>
      </c>
      <c r="C132" s="3">
        <v>0</v>
      </c>
      <c r="D132" s="3">
        <v>0</v>
      </c>
      <c r="E132" s="3">
        <v>0.98</v>
      </c>
      <c r="F132" s="3">
        <v>2.87</v>
      </c>
      <c r="G132" s="3">
        <v>1.57</v>
      </c>
      <c r="H132" s="3">
        <v>0</v>
      </c>
      <c r="I132" s="3">
        <v>0</v>
      </c>
      <c r="J132" s="3">
        <v>0.03</v>
      </c>
      <c r="K132" s="3">
        <v>6.8999999999999999E-3</v>
      </c>
      <c r="L132" s="3">
        <v>0</v>
      </c>
      <c r="M132" s="10">
        <v>17.809999999999999</v>
      </c>
      <c r="N132" s="10">
        <v>1364.31</v>
      </c>
      <c r="O132" s="4">
        <v>1271.07</v>
      </c>
      <c r="P132" s="10">
        <f t="shared" si="8"/>
        <v>93.240000000000009</v>
      </c>
      <c r="Q132" s="10">
        <v>948.97</v>
      </c>
      <c r="R132" s="10">
        <f t="shared" si="10"/>
        <v>322.09999999999991</v>
      </c>
      <c r="S132" s="10">
        <v>0.77600000000000002</v>
      </c>
      <c r="T132" s="10" t="s">
        <v>21</v>
      </c>
      <c r="U132" s="4" t="s">
        <v>21</v>
      </c>
    </row>
    <row r="133" spans="1:21">
      <c r="A133" s="6">
        <f t="shared" si="9"/>
        <v>60.421999999999997</v>
      </c>
      <c r="B133" s="13">
        <v>18.95</v>
      </c>
      <c r="C133" s="13">
        <v>6.94</v>
      </c>
      <c r="D133" s="13">
        <v>0.4</v>
      </c>
      <c r="E133" s="13">
        <v>2.06</v>
      </c>
      <c r="F133" s="13">
        <v>1.29</v>
      </c>
      <c r="G133" s="13">
        <v>0</v>
      </c>
      <c r="H133" s="13">
        <v>3.96</v>
      </c>
      <c r="I133" s="13">
        <v>5.94</v>
      </c>
      <c r="J133" s="13">
        <v>3.7999999999999999E-2</v>
      </c>
      <c r="K133" s="13">
        <v>0</v>
      </c>
      <c r="L133" s="13">
        <v>0</v>
      </c>
      <c r="M133" s="10">
        <v>19.170000000000002</v>
      </c>
      <c r="N133" s="10">
        <v>1380.41</v>
      </c>
      <c r="O133" s="4">
        <v>1337.77</v>
      </c>
      <c r="P133" s="10">
        <f t="shared" si="8"/>
        <v>42.6400000000001</v>
      </c>
      <c r="Q133" s="10">
        <v>968.71</v>
      </c>
      <c r="R133" s="10">
        <f t="shared" si="10"/>
        <v>369.05999999999995</v>
      </c>
      <c r="S133" s="10">
        <v>-8.09E-2</v>
      </c>
      <c r="T133" s="10" t="s">
        <v>21</v>
      </c>
      <c r="U133" s="4" t="s">
        <v>21</v>
      </c>
    </row>
    <row r="134" spans="1:21">
      <c r="A134" s="6">
        <f t="shared" si="9"/>
        <v>60.608000000000004</v>
      </c>
      <c r="B134" s="13">
        <v>18.5</v>
      </c>
      <c r="C134" s="13">
        <v>6.5</v>
      </c>
      <c r="D134" s="13">
        <v>1</v>
      </c>
      <c r="E134" s="13">
        <v>2.1</v>
      </c>
      <c r="F134" s="13">
        <v>1.25</v>
      </c>
      <c r="G134" s="13">
        <v>0</v>
      </c>
      <c r="H134" s="13">
        <v>4</v>
      </c>
      <c r="I134" s="13">
        <v>6</v>
      </c>
      <c r="J134" s="13">
        <v>0.04</v>
      </c>
      <c r="K134" s="13">
        <v>2E-3</v>
      </c>
      <c r="L134" s="13">
        <v>0</v>
      </c>
      <c r="M134" s="10">
        <v>19.12</v>
      </c>
      <c r="N134" s="10">
        <v>1382.01</v>
      </c>
      <c r="O134" s="4">
        <v>1322.39</v>
      </c>
      <c r="P134" s="10">
        <f t="shared" si="8"/>
        <v>59.619999999999891</v>
      </c>
      <c r="Q134" s="10">
        <v>965.59</v>
      </c>
      <c r="R134" s="10">
        <f t="shared" si="10"/>
        <v>356.80000000000007</v>
      </c>
      <c r="S134" s="10">
        <v>-8.3989999999999995E-2</v>
      </c>
      <c r="T134" s="10" t="s">
        <v>21</v>
      </c>
      <c r="U134" s="4" t="s">
        <v>21</v>
      </c>
    </row>
    <row r="135" spans="1:21" hidden="1">
      <c r="A135" s="6">
        <f t="shared" si="9"/>
        <v>62.617999999999988</v>
      </c>
      <c r="B135" s="3">
        <v>12.98</v>
      </c>
      <c r="C135" s="3">
        <v>8</v>
      </c>
      <c r="D135" s="3">
        <v>0</v>
      </c>
      <c r="E135" s="3">
        <v>3.48</v>
      </c>
      <c r="F135" s="3">
        <v>2.5499999999999998</v>
      </c>
      <c r="G135" s="3">
        <v>3.5</v>
      </c>
      <c r="H135" s="3">
        <v>3.4</v>
      </c>
      <c r="I135" s="3">
        <v>3.4</v>
      </c>
      <c r="J135" s="3">
        <v>0.06</v>
      </c>
      <c r="K135" s="3">
        <v>1.2E-2</v>
      </c>
      <c r="L135" s="3">
        <v>0</v>
      </c>
      <c r="M135" s="10">
        <v>51.88</v>
      </c>
      <c r="N135" s="10">
        <v>1340.72</v>
      </c>
      <c r="O135" s="4">
        <v>1268.3699999999999</v>
      </c>
      <c r="P135" s="10">
        <f t="shared" si="8"/>
        <v>72.350000000000136</v>
      </c>
      <c r="Q135" s="10">
        <v>1148.1500000000001</v>
      </c>
      <c r="R135" s="10">
        <f t="shared" si="10"/>
        <v>120.2199999999998</v>
      </c>
      <c r="S135" s="10">
        <v>0.20399999999999999</v>
      </c>
      <c r="T135" s="10" t="s">
        <v>21</v>
      </c>
      <c r="U135" s="10" t="s">
        <v>21</v>
      </c>
    </row>
    <row r="136" spans="1:21" hidden="1">
      <c r="A136" s="6">
        <f t="shared" si="9"/>
        <v>51.204000000000015</v>
      </c>
      <c r="B136" s="3">
        <v>18.77</v>
      </c>
      <c r="C136" s="3">
        <v>10.88</v>
      </c>
      <c r="D136" s="3">
        <v>4.5</v>
      </c>
      <c r="E136" s="3">
        <v>1.52</v>
      </c>
      <c r="F136" s="3">
        <v>3.1</v>
      </c>
      <c r="G136" s="3">
        <v>0</v>
      </c>
      <c r="H136" s="3">
        <v>9.8699999999999992</v>
      </c>
      <c r="I136" s="3">
        <v>0</v>
      </c>
      <c r="J136" s="3">
        <v>0.08</v>
      </c>
      <c r="K136" s="3">
        <v>6.0000000000000001E-3</v>
      </c>
      <c r="L136" s="3">
        <v>7.0000000000000007E-2</v>
      </c>
      <c r="M136" s="10">
        <v>26.29</v>
      </c>
      <c r="N136" s="10">
        <v>1329.9</v>
      </c>
      <c r="O136" s="4">
        <v>1263.99</v>
      </c>
      <c r="P136" s="10">
        <f t="shared" si="8"/>
        <v>65.910000000000082</v>
      </c>
      <c r="Q136" s="10">
        <v>1048.75</v>
      </c>
      <c r="R136" s="10">
        <f t="shared" si="10"/>
        <v>215.24</v>
      </c>
      <c r="S136" s="10">
        <v>0.108</v>
      </c>
      <c r="T136" s="10" t="s">
        <v>21</v>
      </c>
      <c r="U136" s="10" t="s">
        <v>20</v>
      </c>
    </row>
  </sheetData>
  <autoFilter ref="A1:U136" xr:uid="{DF51BAFF-98F0-DF4A-B45B-F82C09B0440B}">
    <filterColumn colId="12">
      <filters>
        <filter val="10.07"/>
        <filter val="10.16"/>
        <filter val="10.48"/>
        <filter val="11.06"/>
        <filter val="11.17"/>
        <filter val="11.89"/>
        <filter val="12.09"/>
        <filter val="12.71"/>
        <filter val="12.9"/>
        <filter val="13.02"/>
        <filter val="13.59"/>
        <filter val="15.21"/>
        <filter val="15.56"/>
        <filter val="15.87"/>
        <filter val="16.64"/>
        <filter val="16.94"/>
        <filter val="17.61"/>
        <filter val="17.81"/>
        <filter val="17.82"/>
        <filter val="19.12"/>
        <filter val="19.17"/>
        <filter val="19.83"/>
        <filter val="2.64"/>
        <filter val="4.01"/>
        <filter val="4.88"/>
        <filter val="4.89"/>
        <filter val="5.25"/>
        <filter val="5.35"/>
        <filter val="5.76"/>
        <filter val="6.83"/>
        <filter val="6.96"/>
        <filter val="7.4"/>
        <filter val="7.44"/>
        <filter val="7.58"/>
        <filter val="7.60"/>
        <filter val="7.61"/>
        <filter val="7.81"/>
        <filter val="7.84"/>
        <filter val="7.92"/>
        <filter val="8.04"/>
        <filter val="8.1"/>
        <filter val="8.18"/>
        <filter val="8.2"/>
        <filter val="8.27"/>
        <filter val="8.38"/>
        <filter val="8.9"/>
        <filter val="8.91"/>
        <filter val="8.97"/>
        <filter val="8.98"/>
        <filter val="9.12"/>
        <filter val="9.15"/>
        <filter val="9.16"/>
        <filter val="9.19"/>
        <filter val="9.21"/>
        <filter val="9.27"/>
        <filter val="9.37"/>
        <filter val="9.55"/>
        <filter val="9.67"/>
      </filters>
    </filterColumn>
    <filterColumn colId="20">
      <filters>
        <filter val="Unacceptable"/>
      </filters>
    </filterColumn>
  </autoFilter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2023-07-03T01:46:00Z</dcterms:created>
  <dcterms:modified xsi:type="dcterms:W3CDTF">2023-09-18T03:11:58Z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97A55BFBE3EE41FE871B776DD2713DCD_13</vt:lpwstr>
  </property>
  <property fmtid="{D5CDD505-2E9C-101B-9397-08002B2CF9AE}" pid="3" name="KSOProductBuildVer">
    <vt:lpwstr>2052-11.1.0.14036</vt:lpwstr>
  </property>
</Properties>
</file>