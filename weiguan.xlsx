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建立高温合金的显微组织分类模型/"/>
    </mc:Choice>
  </mc:AlternateContent>
  <xr:revisionPtr revIDLastSave="0" documentId="13_ncr:1_{69AD568E-122A-6E49-A367-A1A1E6D84AE5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Sheet1!$A$1:$W$11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1" l="1"/>
  <c r="T2" i="1"/>
  <c r="R3" i="1"/>
  <c r="T3" i="1"/>
  <c r="R4" i="1"/>
  <c r="T4" i="1"/>
  <c r="R5" i="1"/>
  <c r="T5" i="1"/>
  <c r="R6" i="1"/>
  <c r="T6" i="1"/>
  <c r="R7" i="1"/>
  <c r="T7" i="1"/>
  <c r="R8" i="1"/>
  <c r="T8" i="1"/>
  <c r="R9" i="1"/>
  <c r="T9" i="1"/>
  <c r="R10" i="1"/>
  <c r="T10" i="1"/>
  <c r="R11" i="1"/>
  <c r="B11" i="1" l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<sst xmlns="http://schemas.openxmlformats.org/spreadsheetml/2006/main" count="43" uniqueCount="25">
  <si>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</si>
  <si>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</si>
  <si>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</si>
  <si>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</si>
  <si>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</si>
  <si>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</si>
  <si>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</si>
  <si>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</si>
  <si>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</si>
  <si>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</si>
  <si>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</si>
  <si>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</si>
  <si>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 xml:space="preserve">γ </t>
  </si>
  <si>
    <t>γ '</t>
  </si>
  <si>
    <t>TS</t>
  </si>
  <si>
    <t>TL</t>
  </si>
  <si>
    <t>TI-TS</t>
  </si>
  <si>
    <t>Tγ '</t>
  </si>
  <si>
    <t>TS-Tγ'</t>
  </si>
  <si>
    <t>γ /γ '错配度</t>
  </si>
  <si>
    <t>合金序号</t>
    <phoneticPr fontId="4" type="noConversion"/>
  </si>
  <si>
    <t>Classification</t>
  </si>
  <si>
    <t>Very Good</t>
  </si>
  <si>
    <t>Unacceptable</t>
  </si>
  <si>
    <t>Actual classification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</si>
</sst>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9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 applyProtection="1">
      <alignment horizontal="center" vertical="center"/>
    </xf>
    <xf numFmtId="0" fontId="6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zoomScale="150" zoomScaleNormal="150" workbookViewId="0">
      <selection sqref="A1:B3"/>
    </sheetView>
  </sheetViews>
  <sheetFormatPr baseColWidth="10" defaultColWidth="9" defaultRowHeight="14"/>
  <cols>
    <col min="1" max="21" width="9" style="1"/>
    <col min="22" max="22" width="15.5" style="11" customWidth="1"/>
    <col min="23" max="23" width="14.1640625" style="11" customWidth="1"/>
    <col min="24" max="16384" width="9" style="1"/>
  </cols>
  <sheetData>
    <row r="1" spans="1:23" ht="17">
      <c r="A1" s="7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5" t="s">
        <v>19</v>
      </c>
      <c r="V1" s="9" t="s">
        <v>24</v>
      </c>
      <c r="W1" s="10" t="s">
        <v>21</v>
      </c>
    </row>
    <row r="2" spans="1:23" ht="17">
      <c r="A2" s="6">
        <v>1</v>
      </c>
      <c r="B2" s="3">
        <f t="shared" ref="B2:B11" si="0">100-C2-D2-E2-F2-G2-H2-I2-J2-K2-L2-M2</f>
        <v>52.22</v>
      </c>
      <c r="C2" s="3">
        <v>23.545999999999999</v>
      </c>
      <c r="D2" s="3">
        <v>5.3550000000000004</v>
      </c>
      <c r="E2" s="3">
        <v>9.41</v>
      </c>
      <c r="F2" s="3">
        <v>2.2610000000000001</v>
      </c>
      <c r="G2" s="3">
        <v>0.89200000000000002</v>
      </c>
      <c r="H2" s="3">
        <v>4.54</v>
      </c>
      <c r="I2" s="3">
        <v>1.038</v>
      </c>
      <c r="J2" s="3">
        <v>0.63300000000000001</v>
      </c>
      <c r="K2" s="3">
        <v>7.2999999999999995E-2</v>
      </c>
      <c r="L2" s="3">
        <v>1.2E-2</v>
      </c>
      <c r="M2" s="3">
        <v>0.02</v>
      </c>
      <c r="N2" s="3">
        <v>61.31</v>
      </c>
      <c r="O2" s="3">
        <v>29.14</v>
      </c>
      <c r="P2" s="3">
        <v>1342.89</v>
      </c>
      <c r="Q2" s="3">
        <v>1105</v>
      </c>
      <c r="R2" s="3">
        <f t="shared" ref="R2:R11" si="1">P2-Q2</f>
        <v>237.8900000000001</v>
      </c>
      <c r="S2" s="3">
        <v>1025.3</v>
      </c>
      <c r="T2" s="3">
        <f t="shared" ref="T2:T10" si="2">P2-S2</f>
        <v>317.59000000000015</v>
      </c>
      <c r="U2" s="3">
        <v>0.50600000000000001</v>
      </c>
      <c r="V2" s="8" t="s">
        <v>22</v>
      </c>
      <c r="W2" s="12" t="s">
        <v>23</v>
      </c>
    </row>
    <row r="3" spans="1:23" ht="17">
      <c r="A3" s="6">
        <v>2</v>
      </c>
      <c r="B3" s="3">
        <f t="shared" si="0"/>
        <v>50.652999999999999</v>
      </c>
      <c r="C3" s="3">
        <v>20.911999999999999</v>
      </c>
      <c r="D3" s="3">
        <v>2.6749999999999998</v>
      </c>
      <c r="E3" s="3">
        <v>9.0670000000000002</v>
      </c>
      <c r="F3" s="3">
        <v>1.8859999999999999</v>
      </c>
      <c r="G3" s="3">
        <v>2.1</v>
      </c>
      <c r="H3" s="3">
        <v>1.9590000000000001</v>
      </c>
      <c r="I3" s="3">
        <v>4.8760000000000003</v>
      </c>
      <c r="J3" s="3">
        <v>5.798</v>
      </c>
      <c r="K3" s="3">
        <v>1.0999999999999999E-2</v>
      </c>
      <c r="L3" s="3">
        <v>5.0000000000000001E-3</v>
      </c>
      <c r="M3" s="3">
        <v>5.8000000000000003E-2</v>
      </c>
      <c r="N3" s="3">
        <v>50.66</v>
      </c>
      <c r="O3" s="3">
        <v>29.95</v>
      </c>
      <c r="P3" s="3">
        <v>1336.9</v>
      </c>
      <c r="Q3" s="3">
        <v>1065</v>
      </c>
      <c r="R3" s="3">
        <f t="shared" si="1"/>
        <v>271.90000000000009</v>
      </c>
      <c r="S3" s="3">
        <v>1043.9000000000001</v>
      </c>
      <c r="T3" s="3">
        <f t="shared" si="2"/>
        <v>293</v>
      </c>
      <c r="U3" s="3">
        <v>0.27500000000000002</v>
      </c>
      <c r="V3" s="8" t="s">
        <v>22</v>
      </c>
      <c r="W3" s="8" t="s">
        <v>22</v>
      </c>
    </row>
    <row r="4" spans="1:23" ht="17">
      <c r="A4" s="6">
        <v>3</v>
      </c>
      <c r="B4" s="3">
        <f t="shared" si="0"/>
        <v>47.134999999999991</v>
      </c>
      <c r="C4" s="3">
        <v>31.084</v>
      </c>
      <c r="D4" s="3">
        <v>1.964</v>
      </c>
      <c r="E4" s="3">
        <v>5.1440000000000001</v>
      </c>
      <c r="F4" s="3">
        <v>2.95</v>
      </c>
      <c r="G4" s="3">
        <v>2.4289999999999998</v>
      </c>
      <c r="H4" s="3">
        <v>2.3250000000000002</v>
      </c>
      <c r="I4" s="3">
        <v>0.73599999999999999</v>
      </c>
      <c r="J4" s="3">
        <v>6.1459999999999999</v>
      </c>
      <c r="K4" s="3">
        <v>1.4E-2</v>
      </c>
      <c r="L4" s="3">
        <v>6.3E-2</v>
      </c>
      <c r="M4" s="3">
        <v>0.01</v>
      </c>
      <c r="N4" s="3">
        <v>27.48</v>
      </c>
      <c r="O4" s="3">
        <v>43.34</v>
      </c>
      <c r="P4" s="3">
        <v>1294.51</v>
      </c>
      <c r="Q4" s="3">
        <v>1075</v>
      </c>
      <c r="R4" s="3">
        <f t="shared" si="1"/>
        <v>219.51</v>
      </c>
      <c r="S4" s="3">
        <v>1100.77</v>
      </c>
      <c r="T4" s="3">
        <f t="shared" si="2"/>
        <v>193.74</v>
      </c>
      <c r="U4" s="3">
        <v>0.187</v>
      </c>
      <c r="V4" s="8" t="s">
        <v>22</v>
      </c>
      <c r="W4" s="8" t="s">
        <v>22</v>
      </c>
    </row>
    <row r="5" spans="1:23" ht="17">
      <c r="A5" s="6">
        <v>4</v>
      </c>
      <c r="B5" s="3">
        <f t="shared" si="0"/>
        <v>51.033000000000008</v>
      </c>
      <c r="C5" s="3">
        <v>33.116999999999997</v>
      </c>
      <c r="D5" s="3">
        <v>0.45100000000000001</v>
      </c>
      <c r="E5" s="3">
        <v>4.2309999999999999</v>
      </c>
      <c r="F5" s="3">
        <v>2.5539999999999998</v>
      </c>
      <c r="G5" s="3">
        <v>2.895</v>
      </c>
      <c r="H5" s="3">
        <v>1.829</v>
      </c>
      <c r="I5" s="3">
        <v>2.5619999999999998</v>
      </c>
      <c r="J5" s="3">
        <v>1.2250000000000001</v>
      </c>
      <c r="K5" s="3">
        <v>8.5000000000000006E-2</v>
      </c>
      <c r="L5" s="3">
        <v>8.9999999999999993E-3</v>
      </c>
      <c r="M5" s="3">
        <v>8.9999999999999993E-3</v>
      </c>
      <c r="N5" s="3">
        <v>34.15</v>
      </c>
      <c r="O5" s="3">
        <v>38.659999999999997</v>
      </c>
      <c r="P5" s="3">
        <v>1297.8900000000001</v>
      </c>
      <c r="Q5" s="3">
        <v>1070</v>
      </c>
      <c r="R5" s="3">
        <f t="shared" si="1"/>
        <v>227.8900000000001</v>
      </c>
      <c r="S5" s="3">
        <v>1095.04</v>
      </c>
      <c r="T5" s="3">
        <f t="shared" si="2"/>
        <v>202.85000000000014</v>
      </c>
      <c r="U5" s="3">
        <v>0.14699999999999999</v>
      </c>
      <c r="V5" s="8" t="s">
        <v>22</v>
      </c>
      <c r="W5" s="8" t="s">
        <v>22</v>
      </c>
    </row>
    <row r="6" spans="1:23" ht="17">
      <c r="A6" s="6">
        <v>5</v>
      </c>
      <c r="B6" s="3">
        <f t="shared" si="0"/>
        <v>50.238</v>
      </c>
      <c r="C6" s="3">
        <v>23.297999999999998</v>
      </c>
      <c r="D6" s="3">
        <v>4.4279999999999999</v>
      </c>
      <c r="E6" s="3">
        <v>6.859</v>
      </c>
      <c r="F6" s="3">
        <v>1.7649999999999999</v>
      </c>
      <c r="G6" s="3">
        <v>1.2170000000000001</v>
      </c>
      <c r="H6" s="3">
        <v>0.69699999999999995</v>
      </c>
      <c r="I6" s="3">
        <v>9.4719999999999995</v>
      </c>
      <c r="J6" s="3">
        <v>1.8480000000000001</v>
      </c>
      <c r="K6" s="3">
        <v>9.2999999999999999E-2</v>
      </c>
      <c r="L6" s="3">
        <v>5.6000000000000001E-2</v>
      </c>
      <c r="M6" s="3">
        <v>2.9000000000000001E-2</v>
      </c>
      <c r="N6" s="3">
        <v>57.9</v>
      </c>
      <c r="O6" s="3">
        <v>18.68</v>
      </c>
      <c r="P6" s="3">
        <v>1338.58</v>
      </c>
      <c r="Q6" s="3">
        <v>1120</v>
      </c>
      <c r="R6" s="3">
        <f t="shared" si="1"/>
        <v>218.57999999999993</v>
      </c>
      <c r="S6" s="3">
        <v>994.23</v>
      </c>
      <c r="T6" s="3">
        <f t="shared" si="2"/>
        <v>344.34999999999991</v>
      </c>
      <c r="U6" s="3">
        <v>0.05</v>
      </c>
      <c r="V6" s="8" t="s">
        <v>23</v>
      </c>
      <c r="W6" s="8" t="s">
        <v>23</v>
      </c>
    </row>
    <row r="7" spans="1:23" s="16" customFormat="1" ht="17">
      <c r="A7" s="13">
        <v>6</v>
      </c>
      <c r="B7" s="14">
        <f t="shared" si="0"/>
        <v>48.603999999999999</v>
      </c>
      <c r="C7" s="14">
        <v>25.981999999999999</v>
      </c>
      <c r="D7" s="14">
        <v>0.438</v>
      </c>
      <c r="E7" s="14">
        <v>9.76</v>
      </c>
      <c r="F7" s="14">
        <v>2.734</v>
      </c>
      <c r="G7" s="14">
        <v>2.577</v>
      </c>
      <c r="H7" s="14">
        <v>1.427</v>
      </c>
      <c r="I7" s="14">
        <v>7.4850000000000003</v>
      </c>
      <c r="J7" s="14">
        <v>0.81</v>
      </c>
      <c r="K7" s="14">
        <v>9.0999999999999998E-2</v>
      </c>
      <c r="L7" s="14">
        <v>5.3999999999999999E-2</v>
      </c>
      <c r="M7" s="14">
        <v>3.7999999999999999E-2</v>
      </c>
      <c r="N7" s="14">
        <v>23.16</v>
      </c>
      <c r="O7" s="14">
        <v>38.26</v>
      </c>
      <c r="P7" s="14">
        <v>1304.8900000000001</v>
      </c>
      <c r="Q7" s="14">
        <v>1060</v>
      </c>
      <c r="R7" s="14">
        <f t="shared" si="1"/>
        <v>244.8900000000001</v>
      </c>
      <c r="S7" s="14">
        <v>1077.6199999999999</v>
      </c>
      <c r="T7" s="14">
        <f t="shared" si="2"/>
        <v>227.27000000000021</v>
      </c>
      <c r="U7" s="14">
        <v>0.05</v>
      </c>
      <c r="V7" s="15" t="s">
        <v>22</v>
      </c>
      <c r="W7" s="15" t="s">
        <v>22</v>
      </c>
    </row>
    <row r="8" spans="1:23" ht="17">
      <c r="A8" s="6">
        <v>7</v>
      </c>
      <c r="B8" s="3">
        <f t="shared" si="0"/>
        <v>45.755000000000003</v>
      </c>
      <c r="C8" s="3">
        <v>21.952999999999999</v>
      </c>
      <c r="D8" s="3">
        <v>1.9550000000000001</v>
      </c>
      <c r="E8" s="3">
        <v>12.24</v>
      </c>
      <c r="F8" s="3">
        <v>2.6040000000000001</v>
      </c>
      <c r="G8" s="3">
        <v>1.117</v>
      </c>
      <c r="H8" s="3">
        <v>0.73299999999999998</v>
      </c>
      <c r="I8" s="3">
        <v>6.8840000000000003</v>
      </c>
      <c r="J8" s="3">
        <v>6.5919999999999996</v>
      </c>
      <c r="K8" s="3">
        <v>0.106</v>
      </c>
      <c r="L8" s="3">
        <v>5.3999999999999999E-2</v>
      </c>
      <c r="M8" s="3">
        <v>7.0000000000000001E-3</v>
      </c>
      <c r="N8" s="3">
        <v>48.21</v>
      </c>
      <c r="O8" s="3">
        <v>24.83</v>
      </c>
      <c r="P8" s="3">
        <v>1338.52</v>
      </c>
      <c r="Q8" s="3">
        <v>1120</v>
      </c>
      <c r="R8" s="3">
        <f t="shared" si="1"/>
        <v>218.51999999999998</v>
      </c>
      <c r="S8" s="3">
        <v>991.35</v>
      </c>
      <c r="T8" s="3">
        <f t="shared" si="2"/>
        <v>347.16999999999996</v>
      </c>
      <c r="U8" s="3">
        <v>0.115</v>
      </c>
      <c r="V8" s="8" t="s">
        <v>22</v>
      </c>
      <c r="W8" s="8" t="s">
        <v>23</v>
      </c>
    </row>
    <row r="9" spans="1:23" ht="17">
      <c r="A9" s="17">
        <v>8</v>
      </c>
      <c r="B9" s="18">
        <f t="shared" si="0"/>
        <v>54.070999999999998</v>
      </c>
      <c r="C9" s="18">
        <v>29.623000000000001</v>
      </c>
      <c r="D9" s="18">
        <v>3.3929999999999998</v>
      </c>
      <c r="E9" s="18">
        <v>0.72199999999999998</v>
      </c>
      <c r="F9" s="18">
        <v>2.6480000000000001</v>
      </c>
      <c r="G9" s="18">
        <v>1.4950000000000001</v>
      </c>
      <c r="H9" s="18">
        <v>4.22</v>
      </c>
      <c r="I9" s="18">
        <v>3.9E-2</v>
      </c>
      <c r="J9" s="18">
        <v>3.637</v>
      </c>
      <c r="K9" s="18">
        <v>0.107</v>
      </c>
      <c r="L9" s="18">
        <v>3.5999999999999997E-2</v>
      </c>
      <c r="M9" s="18">
        <v>8.9999999999999993E-3</v>
      </c>
      <c r="N9" s="18">
        <v>39.909999999999997</v>
      </c>
      <c r="O9" s="18">
        <v>39.86</v>
      </c>
      <c r="P9" s="18">
        <v>1306.22</v>
      </c>
      <c r="Q9" s="18">
        <v>1120</v>
      </c>
      <c r="R9" s="18">
        <f t="shared" si="1"/>
        <v>186.22000000000003</v>
      </c>
      <c r="S9" s="18">
        <v>1076.79</v>
      </c>
      <c r="T9" s="18">
        <f t="shared" si="2"/>
        <v>229.43000000000006</v>
      </c>
      <c r="U9" s="18">
        <v>0.501</v>
      </c>
      <c r="V9" s="19" t="s">
        <v>22</v>
      </c>
      <c r="W9" s="19" t="s">
        <v>22</v>
      </c>
    </row>
    <row r="10" spans="1:23" ht="17">
      <c r="A10" s="6">
        <v>9</v>
      </c>
      <c r="B10" s="3">
        <f t="shared" si="0"/>
        <v>53.019999999999975</v>
      </c>
      <c r="C10" s="3">
        <v>16.190999999999999</v>
      </c>
      <c r="D10" s="3">
        <v>8.3819999999999997</v>
      </c>
      <c r="E10" s="3">
        <v>3.0779999999999998</v>
      </c>
      <c r="F10" s="3">
        <v>0.53400000000000003</v>
      </c>
      <c r="G10" s="3">
        <v>1.0489999999999999</v>
      </c>
      <c r="H10" s="3">
        <v>1.5449999999999999</v>
      </c>
      <c r="I10" s="3">
        <v>7.3</v>
      </c>
      <c r="J10" s="3">
        <v>8.77</v>
      </c>
      <c r="K10" s="3">
        <v>8.4000000000000005E-2</v>
      </c>
      <c r="L10" s="3">
        <v>2.7E-2</v>
      </c>
      <c r="M10" s="3">
        <v>0.02</v>
      </c>
      <c r="N10" s="3">
        <v>80.540000000000006</v>
      </c>
      <c r="O10" s="3">
        <v>8.0399999999999991</v>
      </c>
      <c r="P10" s="3">
        <v>1363.96</v>
      </c>
      <c r="Q10" s="3">
        <v>1110</v>
      </c>
      <c r="R10" s="3">
        <f t="shared" si="1"/>
        <v>253.96000000000004</v>
      </c>
      <c r="S10" s="3">
        <v>860.06</v>
      </c>
      <c r="T10" s="3">
        <f t="shared" si="2"/>
        <v>503.90000000000009</v>
      </c>
      <c r="U10" s="3">
        <v>0.42199999999999999</v>
      </c>
      <c r="V10" s="8" t="s">
        <v>23</v>
      </c>
      <c r="W10" s="8" t="s">
        <v>23</v>
      </c>
    </row>
    <row r="11" spans="1:23" ht="17">
      <c r="A11" s="6">
        <v>10</v>
      </c>
      <c r="B11" s="3">
        <f t="shared" si="0"/>
        <v>49.226999999999997</v>
      </c>
      <c r="C11" s="3">
        <v>22.497</v>
      </c>
      <c r="D11" s="3">
        <v>5.0199999999999996</v>
      </c>
      <c r="E11" s="3">
        <v>0.74099999999999999</v>
      </c>
      <c r="F11" s="3">
        <v>2.2810000000000001</v>
      </c>
      <c r="G11" s="3">
        <v>3.7109999999999999</v>
      </c>
      <c r="H11" s="3">
        <v>5.3360000000000003</v>
      </c>
      <c r="I11" s="3">
        <v>5.4139999999999997</v>
      </c>
      <c r="J11" s="3">
        <v>5.64</v>
      </c>
      <c r="K11" s="3">
        <v>4.4999999999999998E-2</v>
      </c>
      <c r="L11" s="3">
        <v>6.4000000000000001E-2</v>
      </c>
      <c r="M11" s="3">
        <v>2.4E-2</v>
      </c>
      <c r="N11" s="3">
        <v>3.74</v>
      </c>
      <c r="O11" s="3">
        <v>55.03</v>
      </c>
      <c r="P11" s="3">
        <v>0</v>
      </c>
      <c r="Q11" s="3">
        <v>0</v>
      </c>
      <c r="R11" s="3">
        <f t="shared" si="1"/>
        <v>0</v>
      </c>
      <c r="S11" s="3">
        <v>1120</v>
      </c>
      <c r="T11" s="3">
        <v>0</v>
      </c>
      <c r="U11" s="3">
        <v>0.51</v>
      </c>
      <c r="V11" s="8" t="s">
        <v>22</v>
      </c>
      <c r="W11" s="8" t="s">
        <v>22</v>
      </c>
    </row>
  </sheetData>
  <autoFilter ref="A1:W11" xr:uid="{3D9B4746-3901-1147-B7F9-96A98B355F08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2023-07-07T03:32:17Z</dcterms:created>
  <dcterms:modified xsi:type="dcterms:W3CDTF">2023-07-11T02:27:53Z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B02F9E087B97406FA8E315F1486C38D0_11</vt:lpwstr>
  </property>
  <property fmtid="{D5CDD505-2E9C-101B-9397-08002B2CF9AE}" pid="3" name="KSOProductBuildVer">
    <vt:lpwstr>2052-11.1.0.14036</vt:lpwstr>
  </property>
</Properties>
</file>