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/>
  <mc:AlternateContent xmlns:mc="http://schemas.openxmlformats.org/markup-compatibility/2006">
    <mc:Choice Requires="x15">
      <x15ac:absPath xmlns:x15ac="http://schemas.microsoft.com/office/spreadsheetml/2010/11/ac" url="/Users/macbookpro/Desktop/合金设计新方法/高温合金微观组织模型/建立高温合金的显微组织分类模型/"/>
    </mc:Choice>
  </mc:AlternateContent>
  <xr:revisionPtr revIDLastSave="0" documentId="13_ncr:1_{BA1C3336-341B-C24A-B136-A10FD2FBFC5C}" xr6:coauthVersionLast="45" xr6:coauthVersionMax="45" xr10:uidLastSave="{00000000-0000-0000-0000-000000000000}"/>
  <bookViews>
    <workbookView xWindow="0" yWindow="500" windowWidth="38400" windowHeight="20120" xr2:uid="{00000000-000D-0000-FFFF-FFFF00000000}"/>
  </bookViews>
  <sheets>
    <sheet name="Sheet1" sheetId="1" r:id="rId1"/>
  </sheets>
  <definedNames>
    <definedName name="_xlnm._FilterDatabase" localSheetId="0" hidden="1">Sheet1!$A$1:$W$6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" i="1" l="1"/>
  <c r="T2" i="1"/>
  <c r="R3" i="1"/>
  <c r="T3" i="1"/>
  <c r="R4" i="1"/>
  <c r="T4" i="1"/>
  <c r="R5" i="1"/>
  <c r="T5" i="1"/>
  <c r="R6" i="1"/>
  <c r="T6" i="1"/>
  <c r="B6" i="1" l="1"/>
  <c r="B5" i="1"/>
  <c r="B4" i="1"/>
  <c r="B3" i="1"/>
  <c r="B2" i="1"/>
</calcChain>
</file>

<file path=xl/sharedStrings.xml><?xml version="1.0" encoding="utf-8"?>
<sst xmlns="http://schemas.openxmlformats.org/spreadsheetml/2006/main" count="39" uniqueCount="30">
  <si>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</si>
  <si>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</si>
  <si>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</si>
  <si>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</si>
  <si>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</si>
  <si>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</si>
  <si>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</si>
  <si>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</si>
  <si>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</si>
  <si>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</si>
  <si>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</si>
  <si>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</si>
  <si>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 xml:space="preserve">γ </t>
  </si>
  <si>
    <t>γ '</t>
  </si>
  <si>
    <t>TS</t>
  </si>
  <si>
    <t>TL</t>
  </si>
  <si>
    <t>TI-TS</t>
  </si>
  <si>
    <t>Tγ '</t>
  </si>
  <si>
    <t>TS-Tγ'</t>
  </si>
  <si>
    <t>γ /γ '错配度</t>
  </si>
  <si>
    <t>合金序号</t>
    <phoneticPr fontId="4" type="noConversion"/>
  </si>
  <si>
    <t>Classification</t>
  </si>
  <si>
    <t>Very Good</t>
  </si>
  <si>
    <t>Actual classification</t>
    <phoneticPr fontId="4" type="noConversion"/>
  </si>
  <si>
    <t>强化相</t>
  </si>
  <si>
    <t>液态温度</t>
  </si>
  <si>
    <t>凝固区间温度</t>
  </si>
  <si>
    <t>强化相溶解温度</t>
  </si>
  <si>
    <t>加工窗口</t>
  </si>
  <si>
    <t>固态温度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</si>
</sst>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9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2"/>
      <color rgb="FF000000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2"/>
      <color rgb="FF000000"/>
      <name val="Times New Roman"/>
      <family val="1"/>
    </font>
    <font>
      <b/>
      <sz val="11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>
      <alignment vertical="center"/>
    </xf>
    <xf numFmtId="176" fontId="1" fillId="0" borderId="0" xfId="0" applyNumberFormat="1" applyFont="1" applyFill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>
      <alignment vertical="center"/>
    </xf>
    <xf numFmtId="0" fontId="6" fillId="0" borderId="0" xfId="0" applyFont="1" applyFill="1" applyAlignment="1">
      <alignment horizontal="center"/>
    </xf>
    <xf numFmtId="0" fontId="7" fillId="0" borderId="0" xfId="0" applyFont="1" applyFill="1" applyAlignment="1" applyProtection="1">
      <alignment horizontal="center" vertical="center"/>
    </xf>
    <xf numFmtId="0" fontId="6" fillId="0" borderId="1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zoomScale="150" zoomScaleNormal="150" workbookViewId="0">
      <selection activeCell="B1" sqref="B1:M6"/>
    </sheetView>
  </sheetViews>
  <sheetFormatPr baseColWidth="10" defaultColWidth="9" defaultRowHeight="14"/>
  <cols>
    <col min="1" max="21" width="9" style="1"/>
    <col min="22" max="22" width="15.5" style="11" customWidth="1"/>
    <col min="23" max="23" width="14.1640625" style="11" customWidth="1"/>
    <col min="24" max="16384" width="9" style="1"/>
  </cols>
  <sheetData>
    <row r="1" spans="1:23" ht="17">
      <c r="A1" s="7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12" t="s">
        <v>13</v>
      </c>
      <c r="P1" s="12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5" t="s">
        <v>19</v>
      </c>
      <c r="V1" s="9" t="s">
        <v>23</v>
      </c>
      <c r="W1" s="10" t="s">
        <v>21</v>
      </c>
    </row>
    <row r="2" spans="1:23" ht="17">
      <c r="A2" s="6">
        <v>2</v>
      </c>
      <c r="B2" s="3">
        <f t="shared" ref="B2:B6" si="0">100-C2-D2-E2-F2-G2-H2-I2-J2-K2-L2-M2</f>
        <v>50.652999999999999</v>
      </c>
      <c r="C2" s="3">
        <v>20.911999999999999</v>
      </c>
      <c r="D2" s="3">
        <v>2.6749999999999998</v>
      </c>
      <c r="E2" s="3">
        <v>9.0670000000000002</v>
      </c>
      <c r="F2" s="3">
        <v>1.8859999999999999</v>
      </c>
      <c r="G2" s="3">
        <v>2.1</v>
      </c>
      <c r="H2" s="3">
        <v>1.9590000000000001</v>
      </c>
      <c r="I2" s="3">
        <v>4.8760000000000003</v>
      </c>
      <c r="J2" s="3">
        <v>5.798</v>
      </c>
      <c r="K2" s="3">
        <v>1.0999999999999999E-2</v>
      </c>
      <c r="L2" s="3">
        <v>5.0000000000000001E-3</v>
      </c>
      <c r="M2" s="3">
        <v>5.8000000000000003E-2</v>
      </c>
      <c r="N2" s="3">
        <v>50.66</v>
      </c>
      <c r="O2" s="13">
        <v>29.95</v>
      </c>
      <c r="P2" s="13">
        <v>1336.9</v>
      </c>
      <c r="Q2" s="3">
        <v>1065</v>
      </c>
      <c r="R2" s="3">
        <f t="shared" ref="R2:R6" si="1">P2-Q2</f>
        <v>271.90000000000009</v>
      </c>
      <c r="S2" s="3">
        <v>1043.9000000000001</v>
      </c>
      <c r="T2" s="3">
        <f t="shared" ref="T2:T6" si="2">P2-S2</f>
        <v>293</v>
      </c>
      <c r="U2" s="3">
        <v>0.27500000000000002</v>
      </c>
      <c r="V2" s="8" t="s">
        <v>22</v>
      </c>
      <c r="W2" s="8" t="s">
        <v>22</v>
      </c>
    </row>
    <row r="3" spans="1:23" ht="17">
      <c r="A3" s="6">
        <v>3</v>
      </c>
      <c r="B3" s="3">
        <f t="shared" si="0"/>
        <v>47.134999999999991</v>
      </c>
      <c r="C3" s="3">
        <v>31.084</v>
      </c>
      <c r="D3" s="3">
        <v>1.964</v>
      </c>
      <c r="E3" s="3">
        <v>5.1440000000000001</v>
      </c>
      <c r="F3" s="3">
        <v>2.95</v>
      </c>
      <c r="G3" s="3">
        <v>2.4289999999999998</v>
      </c>
      <c r="H3" s="3">
        <v>2.3250000000000002</v>
      </c>
      <c r="I3" s="3">
        <v>0.73599999999999999</v>
      </c>
      <c r="J3" s="3">
        <v>6.1459999999999999</v>
      </c>
      <c r="K3" s="3">
        <v>1.4E-2</v>
      </c>
      <c r="L3" s="3">
        <v>6.3E-2</v>
      </c>
      <c r="M3" s="3">
        <v>0.01</v>
      </c>
      <c r="N3" s="3">
        <v>27.48</v>
      </c>
      <c r="O3" s="13">
        <v>43.34</v>
      </c>
      <c r="P3" s="13">
        <v>1294.51</v>
      </c>
      <c r="Q3" s="3">
        <v>1075</v>
      </c>
      <c r="R3" s="3">
        <f t="shared" si="1"/>
        <v>219.51</v>
      </c>
      <c r="S3" s="3">
        <v>1100.77</v>
      </c>
      <c r="T3" s="3">
        <f t="shared" si="2"/>
        <v>193.74</v>
      </c>
      <c r="U3" s="3">
        <v>0.187</v>
      </c>
      <c r="V3" s="8" t="s">
        <v>22</v>
      </c>
      <c r="W3" s="8" t="s">
        <v>22</v>
      </c>
    </row>
    <row r="4" spans="1:23" ht="17">
      <c r="A4" s="6">
        <v>4</v>
      </c>
      <c r="B4" s="3">
        <f t="shared" si="0"/>
        <v>51.033000000000008</v>
      </c>
      <c r="C4" s="3">
        <v>33.116999999999997</v>
      </c>
      <c r="D4" s="3">
        <v>0.45100000000000001</v>
      </c>
      <c r="E4" s="3">
        <v>4.2309999999999999</v>
      </c>
      <c r="F4" s="3">
        <v>2.5539999999999998</v>
      </c>
      <c r="G4" s="3">
        <v>2.895</v>
      </c>
      <c r="H4" s="3">
        <v>1.829</v>
      </c>
      <c r="I4" s="3">
        <v>2.5619999999999998</v>
      </c>
      <c r="J4" s="3">
        <v>1.2250000000000001</v>
      </c>
      <c r="K4" s="3">
        <v>8.5000000000000006E-2</v>
      </c>
      <c r="L4" s="3">
        <v>8.9999999999999993E-3</v>
      </c>
      <c r="M4" s="3">
        <v>8.9999999999999993E-3</v>
      </c>
      <c r="N4" s="3">
        <v>34.15</v>
      </c>
      <c r="O4" s="13">
        <v>38.659999999999997</v>
      </c>
      <c r="P4" s="13">
        <v>1297.8900000000001</v>
      </c>
      <c r="Q4" s="3">
        <v>1070</v>
      </c>
      <c r="R4" s="3">
        <f t="shared" si="1"/>
        <v>227.8900000000001</v>
      </c>
      <c r="S4" s="3">
        <v>1095.04</v>
      </c>
      <c r="T4" s="3">
        <f t="shared" si="2"/>
        <v>202.85000000000014</v>
      </c>
      <c r="U4" s="3">
        <v>0.14699999999999999</v>
      </c>
      <c r="V4" s="8" t="s">
        <v>22</v>
      </c>
      <c r="W4" s="8" t="s">
        <v>22</v>
      </c>
    </row>
    <row r="5" spans="1:23" ht="17">
      <c r="A5" s="6">
        <v>6</v>
      </c>
      <c r="B5" s="3">
        <f t="shared" si="0"/>
        <v>48.603999999999999</v>
      </c>
      <c r="C5" s="3">
        <v>25.981999999999999</v>
      </c>
      <c r="D5" s="3">
        <v>0.438</v>
      </c>
      <c r="E5" s="3">
        <v>9.76</v>
      </c>
      <c r="F5" s="3">
        <v>2.734</v>
      </c>
      <c r="G5" s="3">
        <v>2.577</v>
      </c>
      <c r="H5" s="3">
        <v>1.427</v>
      </c>
      <c r="I5" s="3">
        <v>7.4850000000000003</v>
      </c>
      <c r="J5" s="3">
        <v>0.81</v>
      </c>
      <c r="K5" s="3">
        <v>9.0999999999999998E-2</v>
      </c>
      <c r="L5" s="3">
        <v>5.3999999999999999E-2</v>
      </c>
      <c r="M5" s="3">
        <v>3.7999999999999999E-2</v>
      </c>
      <c r="N5" s="3">
        <v>23.16</v>
      </c>
      <c r="O5" s="13">
        <v>38.26</v>
      </c>
      <c r="P5" s="13">
        <v>1304.8900000000001</v>
      </c>
      <c r="Q5" s="3">
        <v>1060</v>
      </c>
      <c r="R5" s="3">
        <f t="shared" si="1"/>
        <v>244.8900000000001</v>
      </c>
      <c r="S5" s="3">
        <v>1077.6199999999999</v>
      </c>
      <c r="T5" s="3">
        <f t="shared" si="2"/>
        <v>227.27000000000021</v>
      </c>
      <c r="U5" s="3">
        <v>0.05</v>
      </c>
      <c r="V5" s="8" t="s">
        <v>22</v>
      </c>
      <c r="W5" s="8" t="s">
        <v>22</v>
      </c>
    </row>
    <row r="6" spans="1:23" ht="17">
      <c r="A6" s="6">
        <v>8</v>
      </c>
      <c r="B6" s="3">
        <f t="shared" si="0"/>
        <v>54.070999999999998</v>
      </c>
      <c r="C6" s="3">
        <v>29.623000000000001</v>
      </c>
      <c r="D6" s="3">
        <v>3.3929999999999998</v>
      </c>
      <c r="E6" s="3">
        <v>0.72199999999999998</v>
      </c>
      <c r="F6" s="3">
        <v>2.6480000000000001</v>
      </c>
      <c r="G6" s="3">
        <v>1.4950000000000001</v>
      </c>
      <c r="H6" s="3">
        <v>4.22</v>
      </c>
      <c r="I6" s="3">
        <v>3.9E-2</v>
      </c>
      <c r="J6" s="3">
        <v>3.637</v>
      </c>
      <c r="K6" s="3">
        <v>0.107</v>
      </c>
      <c r="L6" s="3">
        <v>3.5999999999999997E-2</v>
      </c>
      <c r="M6" s="3">
        <v>8.9999999999999993E-3</v>
      </c>
      <c r="N6" s="3">
        <v>39.909999999999997</v>
      </c>
      <c r="O6" s="13">
        <v>39.86</v>
      </c>
      <c r="P6" s="13">
        <v>1306.22</v>
      </c>
      <c r="Q6" s="3">
        <v>1120</v>
      </c>
      <c r="R6" s="3">
        <f t="shared" si="1"/>
        <v>186.22000000000003</v>
      </c>
      <c r="S6" s="3">
        <v>1076.79</v>
      </c>
      <c r="T6" s="3">
        <f t="shared" si="2"/>
        <v>229.43000000000006</v>
      </c>
      <c r="U6" s="3">
        <v>0.501</v>
      </c>
      <c r="V6" s="8" t="s">
        <v>22</v>
      </c>
      <c r="W6" s="8" t="s">
        <v>22</v>
      </c>
    </row>
    <row r="7" spans="1:23">
      <c r="O7" s="14" t="s">
        <v>24</v>
      </c>
      <c r="P7" s="14" t="s">
        <v>29</v>
      </c>
      <c r="Q7" s="14" t="s">
        <v>25</v>
      </c>
      <c r="R7" s="14" t="s">
        <v>26</v>
      </c>
      <c r="S7" s="14" t="s">
        <v>27</v>
      </c>
      <c r="T7" s="14" t="s">
        <v>28</v>
      </c>
    </row>
    <row r="8" spans="1:23">
      <c r="O8" s="15">
        <v>43.716000000000037</v>
      </c>
      <c r="P8" s="15">
        <v>1376.0437000000011</v>
      </c>
      <c r="Q8" s="15">
        <v>1096.5646999999999</v>
      </c>
      <c r="R8" s="15">
        <v>262.71430000000032</v>
      </c>
      <c r="S8" s="15">
        <v>972.25179999999978</v>
      </c>
      <c r="T8" s="15">
        <v>410.69830000000002</v>
      </c>
    </row>
  </sheetData>
  <autoFilter ref="A1:W6" xr:uid="{3D9B4746-3901-1147-B7F9-96A98B355F08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2023-07-07T03:32:17Z</dcterms:created>
  <dcterms:modified xsi:type="dcterms:W3CDTF">2023-07-11T02:33:38Z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B02F9E087B97406FA8E315F1486C38D0_11</vt:lpwstr>
  </property>
  <property fmtid="{D5CDD505-2E9C-101B-9397-08002B2CF9AE}" pid="3" name="KSOProductBuildVer">
    <vt:lpwstr>2052-11.1.0.14036</vt:lpwstr>
  </property>
</Properties>
</file>